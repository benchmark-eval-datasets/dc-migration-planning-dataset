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cation_Pricing" sheetId="1" state="visible" r:id="rId1"/>
    <sheet xmlns:r="http://schemas.openxmlformats.org/officeDocument/2006/relationships" name="Cloud_IaaS_Pricing" sheetId="2" state="visible" r:id="rId2"/>
    <sheet xmlns:r="http://schemas.openxmlformats.org/officeDocument/2006/relationships" name="Managed_Services" sheetId="3" state="visible" r:id="rId3"/>
    <sheet xmlns:r="http://schemas.openxmlformats.org/officeDocument/2006/relationships" name="TCO_Model" sheetId="4" state="visible" r:id="rId4"/>
    <sheet xmlns:r="http://schemas.openxmlformats.org/officeDocument/2006/relationships" name="Historical_Qu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  <font>
      <i val="1"/>
      <color rgb="0066666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37" customWidth="1" min="3" max="3"/>
    <col width="9" customWidth="1" min="4" max="4"/>
    <col width="21" customWidth="1" min="5" max="5"/>
    <col width="14" customWidth="1" min="6" max="6"/>
    <col width="20" customWidth="1" min="7" max="7"/>
    <col width="21" customWidth="1" min="8" max="8"/>
    <col width="14" customWidth="1" min="9" max="9"/>
    <col width="20" customWidth="1" min="10" max="10"/>
    <col width="21" customWidth="1" min="11" max="11"/>
    <col width="14" customWidth="1" min="12" max="12"/>
    <col width="20" customWidth="1" min="13" max="13"/>
  </cols>
  <sheetData>
    <row r="1">
      <c r="A1" s="1" t="inlineStr">
        <is>
          <t>Pricing as of March 2025 - Post-negotiation rates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Line_Item_ID</t>
        </is>
      </c>
      <c r="B2" t="inlineStr">
        <is>
          <t>Category</t>
        </is>
      </c>
      <c r="C2" t="inlineStr">
        <is>
          <t>Service_Description</t>
        </is>
      </c>
      <c r="D2" t="inlineStr">
        <is>
          <t>Unit</t>
        </is>
      </c>
      <c r="E2" t="inlineStr">
        <is>
          <t>Vendor_A_Unit_Price</t>
        </is>
      </c>
      <c r="F2" t="inlineStr">
        <is>
          <t>Vendor_A_Qty</t>
        </is>
      </c>
      <c r="G2" t="inlineStr">
        <is>
          <t>Vendor_A_Monthly</t>
        </is>
      </c>
      <c r="H2" t="inlineStr">
        <is>
          <t>Vendor_B_Unit_Price</t>
        </is>
      </c>
      <c r="I2" t="inlineStr">
        <is>
          <t>Vendor_B_Qty</t>
        </is>
      </c>
      <c r="J2" t="inlineStr">
        <is>
          <t>Vendor_B_Monthly</t>
        </is>
      </c>
      <c r="K2" t="inlineStr">
        <is>
          <t>Vendor_C_Unit_Price</t>
        </is>
      </c>
      <c r="L2" t="inlineStr">
        <is>
          <t>Vendor_C_Qty</t>
        </is>
      </c>
      <c r="M2" t="inlineStr">
        <is>
          <t>Vendor_C_Monthly</t>
        </is>
      </c>
    </row>
    <row r="3">
      <c r="A3" t="inlineStr">
        <is>
          <t>COL-001</t>
        </is>
      </c>
      <c r="B3" t="inlineStr">
        <is>
          <t>Power</t>
        </is>
      </c>
      <c r="C3" t="inlineStr">
        <is>
          <t>dedicated power per kW (metered)</t>
        </is>
      </c>
      <c r="D3" t="inlineStr">
        <is>
          <t>Unit</t>
        </is>
      </c>
      <c r="E3" t="n">
        <v>726.27</v>
      </c>
      <c r="F3" t="n">
        <v>40</v>
      </c>
      <c r="G3" t="n">
        <v>29050.8</v>
      </c>
      <c r="H3" t="n">
        <v>974.05</v>
      </c>
      <c r="I3" t="n">
        <v>40</v>
      </c>
      <c r="J3" t="n">
        <v>38962</v>
      </c>
      <c r="K3" t="n">
        <v>484.09</v>
      </c>
      <c r="L3" t="n">
        <v>40</v>
      </c>
      <c r="M3" t="n">
        <v>19363.6</v>
      </c>
    </row>
    <row r="4">
      <c r="A4" t="inlineStr">
        <is>
          <t>COL-002</t>
        </is>
      </c>
      <c r="B4" t="inlineStr">
        <is>
          <t>Connectivity</t>
        </is>
      </c>
      <c r="C4" t="inlineStr">
        <is>
          <t>redundant power feed</t>
        </is>
      </c>
      <c r="D4" t="inlineStr">
        <is>
          <t>Unit</t>
        </is>
      </c>
      <c r="E4" t="n">
        <v>920.89</v>
      </c>
      <c r="F4" t="n">
        <v>87</v>
      </c>
      <c r="G4" t="n">
        <v>80117.42999999999</v>
      </c>
      <c r="H4" t="n">
        <v>569.63</v>
      </c>
      <c r="I4" t="n">
        <v>87</v>
      </c>
      <c r="J4" t="n">
        <v>49557.81</v>
      </c>
      <c r="K4" t="n">
        <v>155.47</v>
      </c>
      <c r="L4" t="n">
        <v>87</v>
      </c>
      <c r="M4" t="n">
        <v>13525.89</v>
      </c>
    </row>
    <row r="5">
      <c r="A5" t="inlineStr">
        <is>
          <t>COL-003</t>
        </is>
      </c>
      <c r="B5" t="inlineStr">
        <is>
          <t>Remote Hands</t>
        </is>
      </c>
      <c r="C5" t="inlineStr">
        <is>
          <t>cross-connect (fiber)</t>
        </is>
      </c>
      <c r="D5" t="inlineStr">
        <is>
          <t>Unit</t>
        </is>
      </c>
      <c r="E5" t="n">
        <v>427.92</v>
      </c>
      <c r="F5" t="n">
        <v>98</v>
      </c>
      <c r="G5" t="n">
        <v>41936.16</v>
      </c>
      <c r="H5" t="n">
        <v>334.79</v>
      </c>
      <c r="I5" t="n">
        <v>98</v>
      </c>
      <c r="J5" t="n">
        <v>32809.42000000001</v>
      </c>
      <c r="K5" t="n">
        <v>619.25</v>
      </c>
      <c r="L5" t="n">
        <v>98</v>
      </c>
      <c r="M5" t="n">
        <v>60686.5</v>
      </c>
    </row>
    <row r="6">
      <c r="A6" t="inlineStr">
        <is>
          <t>COL-004</t>
        </is>
      </c>
      <c r="B6" t="inlineStr">
        <is>
          <t>Security</t>
        </is>
      </c>
      <c r="C6" t="inlineStr">
        <is>
          <t>cross-connect (copper)</t>
        </is>
      </c>
      <c r="D6" t="inlineStr">
        <is>
          <t>Unit</t>
        </is>
      </c>
      <c r="E6" t="n">
        <v>174.04</v>
      </c>
      <c r="F6" t="n">
        <v>69</v>
      </c>
      <c r="G6" t="n">
        <v>12008.76</v>
      </c>
      <c r="H6" t="n">
        <v>212.85</v>
      </c>
      <c r="I6" t="n">
        <v>69</v>
      </c>
      <c r="J6" t="n">
        <v>14686.65</v>
      </c>
      <c r="K6" t="n">
        <v>84.05</v>
      </c>
      <c r="L6" t="n">
        <v>69</v>
      </c>
      <c r="M6" t="n">
        <v>5799.45</v>
      </c>
    </row>
    <row r="7">
      <c r="A7" t="inlineStr">
        <is>
          <t>COL-005</t>
        </is>
      </c>
      <c r="B7" t="inlineStr">
        <is>
          <t>Compliance</t>
        </is>
      </c>
      <c r="C7" t="inlineStr">
        <is>
          <t>internet bandwidth per 100 Mbps</t>
        </is>
      </c>
      <c r="D7" t="inlineStr">
        <is>
          <t>Unit</t>
        </is>
      </c>
      <c r="E7" t="n">
        <v>521.02</v>
      </c>
      <c r="F7" t="n">
        <v>34</v>
      </c>
      <c r="G7" t="n">
        <v>17714.68</v>
      </c>
      <c r="H7" t="n">
        <v>400.65</v>
      </c>
      <c r="I7" t="n">
        <v>34</v>
      </c>
      <c r="J7" t="n">
        <v>13622.1</v>
      </c>
      <c r="K7" t="n">
        <v>273.23</v>
      </c>
      <c r="L7" t="n">
        <v>34</v>
      </c>
      <c r="M7" t="n">
        <v>9289.82</v>
      </c>
    </row>
    <row r="8">
      <c r="A8" t="inlineStr">
        <is>
          <t>COL-006</t>
        </is>
      </c>
      <c r="B8" t="inlineStr">
        <is>
          <t>Environmental</t>
        </is>
      </c>
      <c r="C8" t="inlineStr">
        <is>
          <t>dedicated internet access</t>
        </is>
      </c>
      <c r="D8" t="inlineStr">
        <is>
          <t>Unit</t>
        </is>
      </c>
      <c r="E8" t="n">
        <v>230.43</v>
      </c>
      <c r="F8" t="n">
        <v>64</v>
      </c>
      <c r="G8" t="n">
        <v>14747.52</v>
      </c>
      <c r="H8" t="n">
        <v>896.1900000000001</v>
      </c>
      <c r="I8" t="n">
        <v>64</v>
      </c>
      <c r="J8" t="n">
        <v>57356.16</v>
      </c>
      <c r="K8" t="n">
        <v>322.02</v>
      </c>
      <c r="L8" t="n">
        <v>64</v>
      </c>
      <c r="M8" t="n">
        <v>20609.28</v>
      </c>
    </row>
    <row r="9">
      <c r="A9" t="inlineStr">
        <is>
          <t>COL-007</t>
        </is>
      </c>
      <c r="B9" t="inlineStr">
        <is>
          <t>Rack Space</t>
        </is>
      </c>
      <c r="C9" t="inlineStr">
        <is>
          <t>remote hands per hour</t>
        </is>
      </c>
      <c r="D9" t="inlineStr">
        <is>
          <t>Unit</t>
        </is>
      </c>
      <c r="E9" t="n">
        <v>488.8</v>
      </c>
      <c r="F9" t="n">
        <v>79</v>
      </c>
      <c r="G9" t="n">
        <v>38615.2</v>
      </c>
      <c r="H9" t="n">
        <v>237.79</v>
      </c>
      <c r="I9" t="n">
        <v>79</v>
      </c>
      <c r="J9" t="n">
        <v>18785.41</v>
      </c>
      <c r="K9" t="n">
        <v>449.87</v>
      </c>
      <c r="L9" t="n">
        <v>79</v>
      </c>
      <c r="M9" t="n">
        <v>35539.73</v>
      </c>
    </row>
    <row r="10">
      <c r="A10" t="inlineStr">
        <is>
          <t>COL-008</t>
        </is>
      </c>
      <c r="B10" t="inlineStr">
        <is>
          <t>Power</t>
        </is>
      </c>
      <c r="C10" t="inlineStr">
        <is>
          <t>smart hands per hour</t>
        </is>
      </c>
      <c r="D10" t="inlineStr">
        <is>
          <t>Unit</t>
        </is>
      </c>
      <c r="E10" t="n">
        <v>550.14</v>
      </c>
      <c r="F10" t="n">
        <v>7</v>
      </c>
      <c r="G10" t="n">
        <v>3850.98</v>
      </c>
      <c r="H10" t="n">
        <v>345.36</v>
      </c>
      <c r="I10" t="n">
        <v>7</v>
      </c>
      <c r="J10" t="n">
        <v>2417.52</v>
      </c>
      <c r="K10" t="n">
        <v>291.62</v>
      </c>
      <c r="L10" t="n">
        <v>7</v>
      </c>
      <c r="M10" t="n">
        <v>2041.34</v>
      </c>
    </row>
    <row r="11">
      <c r="A11" t="inlineStr">
        <is>
          <t>COL-009</t>
        </is>
      </c>
      <c r="B11" t="inlineStr">
        <is>
          <t>Connectivity</t>
        </is>
      </c>
      <c r="C11" t="inlineStr">
        <is>
          <t>cage space per sq ft</t>
        </is>
      </c>
      <c r="D11" t="inlineStr">
        <is>
          <t>Unit</t>
        </is>
      </c>
      <c r="E11" t="n">
        <v>542.98</v>
      </c>
      <c r="F11" t="n">
        <v>33</v>
      </c>
      <c r="G11" t="n">
        <v>17918.34</v>
      </c>
      <c r="H11" t="n">
        <v>705.62</v>
      </c>
      <c r="I11" t="n">
        <v>33</v>
      </c>
      <c r="J11" t="n">
        <v>23285.46</v>
      </c>
      <c r="K11" t="n">
        <v>844.27</v>
      </c>
      <c r="L11" t="n">
        <v>33</v>
      </c>
      <c r="M11" t="n">
        <v>27860.91</v>
      </c>
    </row>
    <row r="12">
      <c r="A12" t="inlineStr">
        <is>
          <t>COL-010</t>
        </is>
      </c>
      <c r="B12" t="inlineStr">
        <is>
          <t>Remote Hands</t>
        </is>
      </c>
      <c r="C12" t="inlineStr">
        <is>
          <t>cabinet lock upgrade</t>
        </is>
      </c>
      <c r="D12" t="inlineStr">
        <is>
          <t>Unit</t>
        </is>
      </c>
      <c r="E12" t="n">
        <v>987.36</v>
      </c>
      <c r="F12" t="n">
        <v>58</v>
      </c>
      <c r="G12" t="n">
        <v>57266.88</v>
      </c>
      <c r="H12" t="n">
        <v>251.36</v>
      </c>
      <c r="I12" t="n">
        <v>58</v>
      </c>
      <c r="J12" t="n">
        <v>14578.88</v>
      </c>
      <c r="K12" t="n">
        <v>53.3</v>
      </c>
      <c r="L12" t="n">
        <v>58</v>
      </c>
      <c r="M12" t="n">
        <v>3091.4</v>
      </c>
    </row>
    <row r="13">
      <c r="A13" t="inlineStr">
        <is>
          <t>COL-011</t>
        </is>
      </c>
      <c r="B13" t="inlineStr">
        <is>
          <t>Security</t>
        </is>
      </c>
      <c r="C13" t="inlineStr">
        <is>
          <t>cable management per rack</t>
        </is>
      </c>
      <c r="D13" t="inlineStr">
        <is>
          <t>Unit</t>
        </is>
      </c>
      <c r="E13" t="n">
        <v>952.21</v>
      </c>
      <c r="F13" t="n">
        <v>71</v>
      </c>
      <c r="G13" t="n">
        <v>67606.91</v>
      </c>
      <c r="H13" t="n">
        <v>565.27</v>
      </c>
      <c r="I13" t="n">
        <v>71</v>
      </c>
      <c r="J13" t="n">
        <v>40134.17</v>
      </c>
      <c r="K13" t="n">
        <v>358.71</v>
      </c>
      <c r="L13" t="n">
        <v>71</v>
      </c>
      <c r="M13" t="n">
        <v>25468.41</v>
      </c>
    </row>
    <row r="14">
      <c r="A14" t="inlineStr">
        <is>
          <t>COL-012</t>
        </is>
      </c>
      <c r="B14" t="inlineStr">
        <is>
          <t>Compliance</t>
        </is>
      </c>
      <c r="C14" t="inlineStr">
        <is>
          <t>environmental monitoring per sensor</t>
        </is>
      </c>
      <c r="D14" t="inlineStr">
        <is>
          <t>Unit</t>
        </is>
      </c>
      <c r="E14" t="n">
        <v>925.54</v>
      </c>
      <c r="F14" t="n">
        <v>29</v>
      </c>
      <c r="G14" t="n">
        <v>26840.66</v>
      </c>
      <c r="H14" t="n">
        <v>608.47</v>
      </c>
      <c r="I14" t="n">
        <v>29</v>
      </c>
      <c r="J14" t="n">
        <v>17645.63</v>
      </c>
      <c r="K14" t="n">
        <v>599.24</v>
      </c>
      <c r="L14" t="n">
        <v>29</v>
      </c>
      <c r="M14" t="n">
        <v>17377.96</v>
      </c>
    </row>
    <row r="15">
      <c r="A15" t="inlineStr">
        <is>
          <t>COL-013</t>
        </is>
      </c>
      <c r="B15" t="inlineStr">
        <is>
          <t>Environmental</t>
        </is>
      </c>
      <c r="C15" t="inlineStr">
        <is>
          <t>fire suppression zone surcharge</t>
        </is>
      </c>
      <c r="D15" t="inlineStr">
        <is>
          <t>Unit</t>
        </is>
      </c>
      <c r="E15" t="n">
        <v>500.73</v>
      </c>
      <c r="F15" t="n">
        <v>47</v>
      </c>
      <c r="G15" t="n">
        <v>23534.31</v>
      </c>
      <c r="H15" t="n">
        <v>757.42</v>
      </c>
      <c r="I15" t="n">
        <v>47</v>
      </c>
      <c r="J15" t="n">
        <v>35598.74</v>
      </c>
      <c r="K15" t="n">
        <v>903.98</v>
      </c>
      <c r="L15" t="n">
        <v>47</v>
      </c>
      <c r="M15" t="n">
        <v>42487.06</v>
      </c>
    </row>
    <row r="16">
      <c r="A16" t="inlineStr">
        <is>
          <t>COL-014</t>
        </is>
      </c>
      <c r="B16" t="inlineStr">
        <is>
          <t>Rack Space</t>
        </is>
      </c>
      <c r="C16" t="inlineStr">
        <is>
          <t>compliance audit support per hour</t>
        </is>
      </c>
      <c r="D16" t="inlineStr">
        <is>
          <t>Unit</t>
        </is>
      </c>
      <c r="E16" t="n">
        <v>960</v>
      </c>
      <c r="F16" t="n">
        <v>66</v>
      </c>
      <c r="G16" t="n">
        <v>63360</v>
      </c>
      <c r="H16" t="n">
        <v>931.98</v>
      </c>
      <c r="I16" t="n">
        <v>66</v>
      </c>
      <c r="J16" t="n">
        <v>61510.68</v>
      </c>
      <c r="K16" t="n">
        <v>446.09</v>
      </c>
      <c r="L16" t="n">
        <v>66</v>
      </c>
      <c r="M16" t="n">
        <v>29441.94</v>
      </c>
    </row>
    <row r="17">
      <c r="A17" t="inlineStr">
        <is>
          <t>COL-015</t>
        </is>
      </c>
      <c r="B17" t="inlineStr">
        <is>
          <t>Power</t>
        </is>
      </c>
      <c r="C17" t="inlineStr">
        <is>
          <t>visitor escort per hour</t>
        </is>
      </c>
      <c r="D17" t="inlineStr">
        <is>
          <t>Unit</t>
        </is>
      </c>
      <c r="E17" t="n">
        <v>159.51</v>
      </c>
      <c r="F17" t="n">
        <v>37</v>
      </c>
      <c r="G17" t="n">
        <v>5901.87</v>
      </c>
      <c r="H17" t="n">
        <v>857.11</v>
      </c>
      <c r="I17" t="n">
        <v>37</v>
      </c>
      <c r="J17" t="n">
        <v>31713.07</v>
      </c>
      <c r="K17" t="n">
        <v>126.49</v>
      </c>
      <c r="L17" t="n">
        <v>37</v>
      </c>
      <c r="M17" t="n">
        <v>4680.13</v>
      </c>
    </row>
    <row r="18">
      <c r="A18" t="inlineStr">
        <is>
          <t>COL-016</t>
        </is>
      </c>
      <c r="B18" t="inlineStr">
        <is>
          <t>Connectivity</t>
        </is>
      </c>
      <c r="C18" t="inlineStr">
        <is>
          <t>loading dock access</t>
        </is>
      </c>
      <c r="D18" t="inlineStr">
        <is>
          <t>Unit</t>
        </is>
      </c>
      <c r="E18" t="n">
        <v>643.05</v>
      </c>
      <c r="F18" t="n">
        <v>95</v>
      </c>
      <c r="G18" t="n">
        <v>61089.74999999999</v>
      </c>
      <c r="H18" t="n">
        <v>925.51</v>
      </c>
      <c r="I18" t="n">
        <v>95</v>
      </c>
      <c r="J18" t="n">
        <v>87923.45</v>
      </c>
      <c r="K18" t="n">
        <v>164.01</v>
      </c>
      <c r="L18" t="n">
        <v>95</v>
      </c>
      <c r="M18" t="n">
        <v>15580.95</v>
      </c>
    </row>
    <row r="19">
      <c r="A19" t="inlineStr">
        <is>
          <t>COL-017</t>
        </is>
      </c>
      <c r="B19" t="inlineStr">
        <is>
          <t>Remote Hands</t>
        </is>
      </c>
      <c r="C19" t="inlineStr">
        <is>
          <t>generator test participation</t>
        </is>
      </c>
      <c r="D19" t="inlineStr">
        <is>
          <t>Unit</t>
        </is>
      </c>
      <c r="E19" t="n">
        <v>428.98</v>
      </c>
      <c r="F19" t="n">
        <v>59</v>
      </c>
      <c r="G19" t="n">
        <v>25309.82</v>
      </c>
      <c r="H19" t="n">
        <v>753.5700000000001</v>
      </c>
      <c r="I19" t="n">
        <v>59</v>
      </c>
      <c r="J19" t="n">
        <v>44460.63</v>
      </c>
      <c r="K19" t="n">
        <v>692.95</v>
      </c>
      <c r="L19" t="n">
        <v>59</v>
      </c>
      <c r="M19" t="n">
        <v>40884.05</v>
      </c>
    </row>
    <row r="20">
      <c r="A20" t="inlineStr">
        <is>
          <t>COL-018</t>
        </is>
      </c>
      <c r="B20" t="inlineStr">
        <is>
          <t>Security</t>
        </is>
      </c>
      <c r="C20" t="inlineStr">
        <is>
          <t>SLA Uptime Guarantee (%)</t>
        </is>
      </c>
      <c r="D20" t="inlineStr">
        <is>
          <t>Percent</t>
        </is>
      </c>
      <c r="E20" t="inlineStr">
        <is>
          <t>99.995%</t>
        </is>
      </c>
      <c r="F20" t="n">
        <v>1</v>
      </c>
      <c r="I20" t="n">
        <v>1</v>
      </c>
      <c r="K20" t="inlineStr">
        <is>
          <t>99.99%</t>
        </is>
      </c>
      <c r="L20" t="n">
        <v>1</v>
      </c>
    </row>
    <row r="21">
      <c r="A21" t="inlineStr">
        <is>
          <t>COL-019</t>
        </is>
      </c>
      <c r="B21" t="inlineStr">
        <is>
          <t>Compliance</t>
        </is>
      </c>
      <c r="C21" t="inlineStr">
        <is>
          <t>rack space per U</t>
        </is>
      </c>
      <c r="D21" t="inlineStr">
        <is>
          <t>Unit</t>
        </is>
      </c>
      <c r="E21" t="n">
        <v>185</v>
      </c>
      <c r="F21" t="n">
        <v>10</v>
      </c>
      <c r="G21" t="n">
        <v>1850</v>
      </c>
      <c r="H21" t="n">
        <v>140.53</v>
      </c>
      <c r="I21" t="n">
        <v>10</v>
      </c>
      <c r="J21" t="n">
        <v>1405.3</v>
      </c>
      <c r="K21" t="n">
        <v>991.26</v>
      </c>
      <c r="L21" t="n">
        <v>10</v>
      </c>
      <c r="M21" t="n">
        <v>9912.6</v>
      </c>
    </row>
    <row r="22">
      <c r="A22" t="inlineStr">
        <is>
          <t>COL-020</t>
        </is>
      </c>
      <c r="B22" t="inlineStr">
        <is>
          <t>Environmental</t>
        </is>
      </c>
      <c r="C22" t="inlineStr">
        <is>
          <t>dedicated power per kW (metered)</t>
        </is>
      </c>
      <c r="D22" t="inlineStr">
        <is>
          <t>Unit</t>
        </is>
      </c>
      <c r="E22" t="n">
        <v>579.29</v>
      </c>
      <c r="F22" t="n">
        <v>33</v>
      </c>
      <c r="G22" t="n">
        <v>19116.57</v>
      </c>
      <c r="H22" t="n">
        <v>546.73</v>
      </c>
      <c r="I22" t="n">
        <v>33</v>
      </c>
      <c r="J22" t="n">
        <v>18042.09</v>
      </c>
      <c r="K22" t="n">
        <v>303.13</v>
      </c>
      <c r="L22" t="n">
        <v>33</v>
      </c>
      <c r="M22" t="n">
        <v>10003.29</v>
      </c>
    </row>
    <row r="23">
      <c r="A23" t="inlineStr">
        <is>
          <t>COL-021</t>
        </is>
      </c>
      <c r="B23" t="inlineStr">
        <is>
          <t>Rack Space</t>
        </is>
      </c>
      <c r="C23" t="inlineStr">
        <is>
          <t>redundant power feed</t>
        </is>
      </c>
      <c r="D23" t="inlineStr">
        <is>
          <t>Unit</t>
        </is>
      </c>
      <c r="E23" t="n">
        <v>493.83</v>
      </c>
      <c r="F23" t="n">
        <v>82</v>
      </c>
      <c r="G23" t="n">
        <v>40494.06</v>
      </c>
      <c r="H23" t="n">
        <v>373.89</v>
      </c>
      <c r="I23" t="n">
        <v>82</v>
      </c>
      <c r="J23" t="n">
        <v>30658.98</v>
      </c>
      <c r="K23" t="n">
        <v>479.6</v>
      </c>
      <c r="L23" t="n">
        <v>82</v>
      </c>
      <c r="M23" t="n">
        <v>39327.2</v>
      </c>
    </row>
    <row r="24">
      <c r="A24" t="inlineStr">
        <is>
          <t>COL-022</t>
        </is>
      </c>
      <c r="B24" t="inlineStr">
        <is>
          <t>Power</t>
        </is>
      </c>
      <c r="C24" t="inlineStr">
        <is>
          <t>cross-connect (fiber)</t>
        </is>
      </c>
      <c r="D24" t="inlineStr">
        <is>
          <t>Unit</t>
        </is>
      </c>
      <c r="E24" t="n">
        <v>91.54000000000001</v>
      </c>
      <c r="F24" t="n">
        <v>37</v>
      </c>
      <c r="G24" t="n">
        <v>3386.98</v>
      </c>
      <c r="H24" t="n">
        <v>604.46</v>
      </c>
      <c r="I24" t="n">
        <v>37</v>
      </c>
      <c r="J24" t="n">
        <v>22365.02</v>
      </c>
      <c r="K24" t="n">
        <v>553.25</v>
      </c>
      <c r="L24" t="n">
        <v>37</v>
      </c>
      <c r="M24" t="n">
        <v>20470.25</v>
      </c>
    </row>
    <row r="25">
      <c r="A25" t="inlineStr">
        <is>
          <t>COL-023</t>
        </is>
      </c>
      <c r="B25" t="inlineStr">
        <is>
          <t>Connectivity</t>
        </is>
      </c>
      <c r="C25" t="inlineStr">
        <is>
          <t>cross-connect (copper)</t>
        </is>
      </c>
      <c r="D25" t="inlineStr">
        <is>
          <t>Unit</t>
        </is>
      </c>
      <c r="E25" t="n">
        <v>698.25</v>
      </c>
      <c r="F25" t="n">
        <v>65</v>
      </c>
      <c r="G25" t="n">
        <v>45386.25</v>
      </c>
      <c r="H25" t="n">
        <v>836.42</v>
      </c>
      <c r="I25" t="n">
        <v>65</v>
      </c>
      <c r="J25" t="n">
        <v>54367.3</v>
      </c>
      <c r="K25" t="n">
        <v>492.81</v>
      </c>
      <c r="L25" t="n">
        <v>65</v>
      </c>
      <c r="M25" t="n">
        <v>32032.65</v>
      </c>
    </row>
    <row r="26">
      <c r="A26" t="inlineStr">
        <is>
          <t>COL-024</t>
        </is>
      </c>
      <c r="B26" t="inlineStr">
        <is>
          <t>Remote Hands</t>
        </is>
      </c>
      <c r="C26" t="inlineStr">
        <is>
          <t>internet bandwidth per 100 Mbps</t>
        </is>
      </c>
      <c r="D26" t="inlineStr">
        <is>
          <t>Unit</t>
        </is>
      </c>
      <c r="E26" t="n">
        <v>262.61</v>
      </c>
      <c r="F26" t="n">
        <v>49</v>
      </c>
      <c r="G26" t="n">
        <v>12867.89</v>
      </c>
      <c r="H26" t="n">
        <v>155.34</v>
      </c>
      <c r="I26" t="n">
        <v>49</v>
      </c>
      <c r="J26" t="n">
        <v>7611.66</v>
      </c>
      <c r="K26" t="n">
        <v>545.17</v>
      </c>
      <c r="L26" t="n">
        <v>49</v>
      </c>
      <c r="M26" t="n">
        <v>26713.33</v>
      </c>
    </row>
    <row r="27">
      <c r="A27" t="inlineStr">
        <is>
          <t>COL-025</t>
        </is>
      </c>
      <c r="B27" t="inlineStr">
        <is>
          <t>Security</t>
        </is>
      </c>
      <c r="C27" t="inlineStr">
        <is>
          <t>dedicated internet access</t>
        </is>
      </c>
      <c r="D27" t="inlineStr">
        <is>
          <t>Unit</t>
        </is>
      </c>
      <c r="E27" t="n">
        <v>122.15</v>
      </c>
      <c r="F27" t="n">
        <v>54</v>
      </c>
      <c r="G27" t="n">
        <v>6596.1</v>
      </c>
      <c r="H27" t="n">
        <v>605.55</v>
      </c>
      <c r="I27" t="n">
        <v>54</v>
      </c>
      <c r="J27" t="n">
        <v>32699.7</v>
      </c>
      <c r="K27" t="n">
        <v>643.88</v>
      </c>
      <c r="L27" t="n">
        <v>54</v>
      </c>
      <c r="M27" t="n">
        <v>34769.52</v>
      </c>
    </row>
    <row r="28">
      <c r="A28" t="inlineStr">
        <is>
          <t>COL-026</t>
        </is>
      </c>
      <c r="B28" t="inlineStr">
        <is>
          <t>Compliance</t>
        </is>
      </c>
      <c r="C28" t="inlineStr">
        <is>
          <t>remote hands per hour</t>
        </is>
      </c>
      <c r="D28" t="inlineStr">
        <is>
          <t>Unit</t>
        </is>
      </c>
      <c r="E28" t="n">
        <v>356.72</v>
      </c>
      <c r="F28" t="n">
        <v>8</v>
      </c>
      <c r="G28" t="n">
        <v>2853.76</v>
      </c>
      <c r="H28" t="n">
        <v>961.47</v>
      </c>
      <c r="I28" t="n">
        <v>8</v>
      </c>
      <c r="J28" t="n">
        <v>7691.76</v>
      </c>
      <c r="K28" t="n">
        <v>291.93</v>
      </c>
      <c r="L28" t="n">
        <v>8</v>
      </c>
      <c r="M28" t="n">
        <v>2335.44</v>
      </c>
    </row>
    <row r="29">
      <c r="A29" t="inlineStr">
        <is>
          <t>COL-027</t>
        </is>
      </c>
      <c r="B29" t="inlineStr">
        <is>
          <t>Environmental</t>
        </is>
      </c>
      <c r="C29" t="inlineStr">
        <is>
          <t>smart hands per hour</t>
        </is>
      </c>
      <c r="D29" t="inlineStr">
        <is>
          <t>Unit</t>
        </is>
      </c>
      <c r="E29" t="n">
        <v>783.33</v>
      </c>
      <c r="F29" t="n">
        <v>100</v>
      </c>
      <c r="G29" t="n">
        <v>78333</v>
      </c>
      <c r="H29" t="n">
        <v>562.61</v>
      </c>
      <c r="I29" t="n">
        <v>100</v>
      </c>
      <c r="J29" t="n">
        <v>56261</v>
      </c>
      <c r="K29" t="n">
        <v>739.98</v>
      </c>
      <c r="L29" t="n">
        <v>100</v>
      </c>
      <c r="M29" t="n">
        <v>73998</v>
      </c>
    </row>
    <row r="30">
      <c r="A30" t="inlineStr">
        <is>
          <t>COL-028</t>
        </is>
      </c>
      <c r="B30" t="inlineStr">
        <is>
          <t>Rack Space</t>
        </is>
      </c>
      <c r="C30" t="inlineStr">
        <is>
          <t>cage space per sq ft</t>
        </is>
      </c>
      <c r="D30" t="inlineStr">
        <is>
          <t>Unit</t>
        </is>
      </c>
      <c r="E30" t="n">
        <v>171.76</v>
      </c>
      <c r="F30" t="n">
        <v>56</v>
      </c>
      <c r="G30" t="n">
        <v>9618.559999999999</v>
      </c>
      <c r="H30" t="n">
        <v>272.42</v>
      </c>
      <c r="I30" t="n">
        <v>56</v>
      </c>
      <c r="J30" t="n">
        <v>15255.52</v>
      </c>
      <c r="K30" t="n">
        <v>113.98</v>
      </c>
      <c r="L30" t="n">
        <v>56</v>
      </c>
      <c r="M30" t="n">
        <v>6382.88</v>
      </c>
    </row>
    <row r="31">
      <c r="A31" t="inlineStr">
        <is>
          <t>COL-029</t>
        </is>
      </c>
      <c r="B31" t="inlineStr">
        <is>
          <t>Power</t>
        </is>
      </c>
      <c r="C31" t="inlineStr">
        <is>
          <t>cabinet lock upgrade</t>
        </is>
      </c>
      <c r="D31" t="inlineStr">
        <is>
          <t>Unit</t>
        </is>
      </c>
      <c r="E31" t="n">
        <v>690.26</v>
      </c>
      <c r="F31" t="n">
        <v>18</v>
      </c>
      <c r="G31" t="n">
        <v>12424.68</v>
      </c>
      <c r="H31" t="n">
        <v>492.83</v>
      </c>
      <c r="I31" t="n">
        <v>18</v>
      </c>
      <c r="J31" t="n">
        <v>8870.940000000001</v>
      </c>
      <c r="K31" t="n">
        <v>791.55</v>
      </c>
      <c r="L31" t="n">
        <v>18</v>
      </c>
      <c r="M31" t="n">
        <v>14247.9</v>
      </c>
    </row>
    <row r="32">
      <c r="A32" t="inlineStr">
        <is>
          <t>COL-030</t>
        </is>
      </c>
      <c r="B32" t="inlineStr">
        <is>
          <t>Connectivity</t>
        </is>
      </c>
      <c r="C32" t="inlineStr">
        <is>
          <t>cable management per rack</t>
        </is>
      </c>
      <c r="D32" t="inlineStr">
        <is>
          <t>Unit</t>
        </is>
      </c>
      <c r="E32" t="n">
        <v>846.38</v>
      </c>
      <c r="F32" t="n">
        <v>26</v>
      </c>
      <c r="G32" t="n">
        <v>22005.88</v>
      </c>
      <c r="H32" t="n">
        <v>580.16</v>
      </c>
      <c r="I32" t="n">
        <v>26</v>
      </c>
      <c r="J32" t="n">
        <v>15084.16</v>
      </c>
      <c r="K32" t="n">
        <v>328.5</v>
      </c>
      <c r="L32" t="n">
        <v>26</v>
      </c>
      <c r="M32" t="n">
        <v>8541</v>
      </c>
    </row>
    <row r="33">
      <c r="A33" t="inlineStr">
        <is>
          <t>COL-031</t>
        </is>
      </c>
      <c r="B33" t="inlineStr">
        <is>
          <t>Remote Hands</t>
        </is>
      </c>
      <c r="C33" t="inlineStr">
        <is>
          <t>environmental monitoring per sensor</t>
        </is>
      </c>
      <c r="D33" t="inlineStr">
        <is>
          <t>Unit</t>
        </is>
      </c>
      <c r="E33" t="n">
        <v>52.26</v>
      </c>
      <c r="F33" t="n">
        <v>82</v>
      </c>
      <c r="G33" t="n">
        <v>4285.32</v>
      </c>
      <c r="H33" t="n">
        <v>386.18</v>
      </c>
      <c r="I33" t="n">
        <v>82</v>
      </c>
      <c r="J33" t="n">
        <v>31666.76</v>
      </c>
      <c r="K33" t="n">
        <v>639.39</v>
      </c>
      <c r="L33" t="n">
        <v>82</v>
      </c>
      <c r="M33" t="n">
        <v>52429.98</v>
      </c>
    </row>
    <row r="34">
      <c r="A34" t="inlineStr">
        <is>
          <t>COL-032</t>
        </is>
      </c>
      <c r="B34" t="inlineStr">
        <is>
          <t>Security</t>
        </is>
      </c>
      <c r="C34" t="inlineStr">
        <is>
          <t>fire suppression zone surcharge</t>
        </is>
      </c>
      <c r="D34" t="inlineStr">
        <is>
          <t>Unit</t>
        </is>
      </c>
      <c r="E34" t="n">
        <v>346.62</v>
      </c>
      <c r="F34" t="n">
        <v>89</v>
      </c>
      <c r="G34" t="n">
        <v>30849.18</v>
      </c>
      <c r="H34" t="n">
        <v>507.47</v>
      </c>
      <c r="I34" t="n">
        <v>89</v>
      </c>
      <c r="J34" t="n">
        <v>45164.83</v>
      </c>
      <c r="K34" t="n">
        <v>583.8099999999999</v>
      </c>
      <c r="L34" t="n">
        <v>89</v>
      </c>
      <c r="M34" t="n">
        <v>51959.09</v>
      </c>
    </row>
    <row r="35">
      <c r="A35" t="inlineStr">
        <is>
          <t>COL-033</t>
        </is>
      </c>
      <c r="B35" t="inlineStr">
        <is>
          <t>Compliance</t>
        </is>
      </c>
      <c r="C35" t="inlineStr">
        <is>
          <t>compliance audit support per hour</t>
        </is>
      </c>
      <c r="D35" t="inlineStr">
        <is>
          <t>Unit</t>
        </is>
      </c>
      <c r="E35" t="n">
        <v>896.25</v>
      </c>
      <c r="F35" t="n">
        <v>4</v>
      </c>
      <c r="G35" t="n">
        <v>3585</v>
      </c>
      <c r="H35" t="n">
        <v>634.04</v>
      </c>
      <c r="I35" t="n">
        <v>4</v>
      </c>
      <c r="J35" t="n">
        <v>2536.16</v>
      </c>
      <c r="K35" t="n">
        <v>944.05</v>
      </c>
      <c r="L35" t="n">
        <v>4</v>
      </c>
      <c r="M35" t="n">
        <v>3776.2</v>
      </c>
    </row>
    <row r="36">
      <c r="A36" t="inlineStr">
        <is>
          <t>COL-034</t>
        </is>
      </c>
      <c r="B36" t="inlineStr">
        <is>
          <t>Environmental</t>
        </is>
      </c>
      <c r="C36" t="inlineStr">
        <is>
          <t>visitor escort per hour</t>
        </is>
      </c>
      <c r="D36" t="inlineStr">
        <is>
          <t>Unit</t>
        </is>
      </c>
      <c r="E36" t="n">
        <v>983.86</v>
      </c>
      <c r="F36" t="n">
        <v>80</v>
      </c>
      <c r="G36" t="n">
        <v>78708.8</v>
      </c>
      <c r="H36" t="n">
        <v>218.01</v>
      </c>
      <c r="I36" t="n">
        <v>80</v>
      </c>
      <c r="J36" t="n">
        <v>17440.8</v>
      </c>
      <c r="K36" t="n">
        <v>952.98</v>
      </c>
      <c r="L36" t="n">
        <v>80</v>
      </c>
      <c r="M36" t="n">
        <v>76238.39999999999</v>
      </c>
    </row>
    <row r="37">
      <c r="A37" t="inlineStr">
        <is>
          <t>COL-035</t>
        </is>
      </c>
      <c r="B37" t="inlineStr">
        <is>
          <t>Rack Space</t>
        </is>
      </c>
      <c r="C37" t="inlineStr">
        <is>
          <t>loading dock access</t>
        </is>
      </c>
      <c r="D37" t="inlineStr">
        <is>
          <t>Unit</t>
        </is>
      </c>
      <c r="E37" t="n">
        <v>962.59</v>
      </c>
      <c r="F37" t="n">
        <v>62</v>
      </c>
      <c r="G37" t="n">
        <v>59680.58</v>
      </c>
      <c r="H37" t="n">
        <v>628.13</v>
      </c>
      <c r="I37" t="n">
        <v>62</v>
      </c>
      <c r="J37" t="n">
        <v>38944.06</v>
      </c>
      <c r="K37" t="n">
        <v>440.22</v>
      </c>
      <c r="L37" t="n">
        <v>62</v>
      </c>
      <c r="M37" t="n">
        <v>27293.64</v>
      </c>
    </row>
    <row r="38">
      <c r="A38" t="inlineStr">
        <is>
          <t>COL-036</t>
        </is>
      </c>
      <c r="B38" t="inlineStr">
        <is>
          <t>Power</t>
        </is>
      </c>
      <c r="C38" t="inlineStr">
        <is>
          <t>generator test participation</t>
        </is>
      </c>
      <c r="D38" t="inlineStr">
        <is>
          <t>Unit</t>
        </is>
      </c>
      <c r="E38" t="n">
        <v>492.18</v>
      </c>
      <c r="F38" t="n">
        <v>6</v>
      </c>
      <c r="G38" t="n">
        <v>2953.08</v>
      </c>
      <c r="H38" t="n">
        <v>592.1799999999999</v>
      </c>
      <c r="I38" t="n">
        <v>6</v>
      </c>
      <c r="J38" t="n">
        <v>3553.08</v>
      </c>
      <c r="K38" t="n">
        <v>259.2</v>
      </c>
      <c r="L38" t="n">
        <v>6</v>
      </c>
      <c r="M38" t="n">
        <v>1555.2</v>
      </c>
    </row>
    <row r="39">
      <c r="A39" t="inlineStr">
        <is>
          <t>COL-037</t>
        </is>
      </c>
      <c r="B39" t="inlineStr">
        <is>
          <t>Connectivity</t>
        </is>
      </c>
      <c r="C39" t="inlineStr">
        <is>
          <t>SLA Uptime Guarantee (%)</t>
        </is>
      </c>
      <c r="D39" t="inlineStr">
        <is>
          <t>Percent</t>
        </is>
      </c>
      <c r="E39" t="inlineStr">
        <is>
          <t>99.995%</t>
        </is>
      </c>
      <c r="F39" t="n">
        <v>1</v>
      </c>
      <c r="I39" t="n">
        <v>1</v>
      </c>
      <c r="K39" t="inlineStr">
        <is>
          <t>99.99%</t>
        </is>
      </c>
      <c r="L39" t="n">
        <v>1</v>
      </c>
    </row>
    <row r="40">
      <c r="A40" t="inlineStr">
        <is>
          <t>COL-038</t>
        </is>
      </c>
      <c r="B40" t="inlineStr">
        <is>
          <t>Remote Hands</t>
        </is>
      </c>
      <c r="C40" t="inlineStr">
        <is>
          <t>rack space per U</t>
        </is>
      </c>
      <c r="D40" t="inlineStr">
        <is>
          <t>Unit</t>
        </is>
      </c>
      <c r="E40" t="n">
        <v>185</v>
      </c>
      <c r="F40" t="n">
        <v>40</v>
      </c>
      <c r="G40" t="n">
        <v>7400</v>
      </c>
      <c r="H40" t="n">
        <v>66.18000000000001</v>
      </c>
      <c r="I40" t="n">
        <v>40</v>
      </c>
      <c r="J40" t="n">
        <v>2647.2</v>
      </c>
      <c r="K40" t="n">
        <v>646.52</v>
      </c>
      <c r="L40" t="n">
        <v>40</v>
      </c>
      <c r="M40" t="n">
        <v>25860.8</v>
      </c>
    </row>
    <row r="41">
      <c r="A41" t="inlineStr">
        <is>
          <t>COL-039</t>
        </is>
      </c>
      <c r="B41" t="inlineStr">
        <is>
          <t>Security</t>
        </is>
      </c>
      <c r="C41" t="inlineStr">
        <is>
          <t>dedicated power per kW (metered)</t>
        </is>
      </c>
      <c r="D41" t="inlineStr">
        <is>
          <t>Unit</t>
        </is>
      </c>
      <c r="E41" t="n">
        <v>412</v>
      </c>
      <c r="F41" t="n">
        <v>28</v>
      </c>
      <c r="G41" t="n">
        <v>11536</v>
      </c>
      <c r="H41" t="n">
        <v>525.29</v>
      </c>
      <c r="I41" t="n">
        <v>28</v>
      </c>
      <c r="J41" t="n">
        <v>14708.12</v>
      </c>
      <c r="K41" t="n">
        <v>585.98</v>
      </c>
      <c r="L41" t="n">
        <v>28</v>
      </c>
      <c r="M41" t="n">
        <v>16407.44</v>
      </c>
    </row>
    <row r="42">
      <c r="A42" t="inlineStr">
        <is>
          <t>COL-040</t>
        </is>
      </c>
      <c r="B42" t="inlineStr">
        <is>
          <t>Compliance</t>
        </is>
      </c>
      <c r="C42" t="inlineStr">
        <is>
          <t>redundant power feed</t>
        </is>
      </c>
      <c r="D42" t="inlineStr">
        <is>
          <t>Unit</t>
        </is>
      </c>
      <c r="E42" t="n">
        <v>542.29</v>
      </c>
      <c r="F42" t="n">
        <v>76</v>
      </c>
      <c r="G42" t="n">
        <v>41214.03999999999</v>
      </c>
      <c r="H42" t="n">
        <v>343.94</v>
      </c>
      <c r="I42" t="n">
        <v>76</v>
      </c>
      <c r="J42" t="n">
        <v>26139.44</v>
      </c>
      <c r="K42" t="n">
        <v>176.71</v>
      </c>
      <c r="L42" t="n">
        <v>76</v>
      </c>
      <c r="M42" t="n">
        <v>13429.96</v>
      </c>
    </row>
    <row r="43">
      <c r="A43" t="inlineStr">
        <is>
          <t>COL-041</t>
        </is>
      </c>
      <c r="B43" t="inlineStr">
        <is>
          <t>Environmental</t>
        </is>
      </c>
      <c r="C43" t="inlineStr">
        <is>
          <t>cross-connect (fiber)</t>
        </is>
      </c>
      <c r="D43" t="inlineStr">
        <is>
          <t>Unit</t>
        </is>
      </c>
      <c r="E43" t="n">
        <v>312.96</v>
      </c>
      <c r="F43" t="n">
        <v>45</v>
      </c>
      <c r="G43" t="n">
        <v>14083.2</v>
      </c>
      <c r="H43" t="n">
        <v>789.24</v>
      </c>
      <c r="I43" t="n">
        <v>45</v>
      </c>
      <c r="J43" t="n">
        <v>35515.8</v>
      </c>
      <c r="K43" t="n">
        <v>289.89</v>
      </c>
      <c r="L43" t="n">
        <v>45</v>
      </c>
      <c r="M43" t="n">
        <v>13045.05</v>
      </c>
    </row>
    <row r="44">
      <c r="A44" t="inlineStr">
        <is>
          <t>COL-042</t>
        </is>
      </c>
      <c r="B44" t="inlineStr">
        <is>
          <t>Rack Space</t>
        </is>
      </c>
      <c r="C44" t="inlineStr">
        <is>
          <t>cross-connect (copper)</t>
        </is>
      </c>
      <c r="D44" t="inlineStr">
        <is>
          <t>Unit</t>
        </is>
      </c>
      <c r="E44" t="n">
        <v>700.96</v>
      </c>
      <c r="F44" t="n">
        <v>63</v>
      </c>
      <c r="G44" t="n">
        <v>44160.48</v>
      </c>
      <c r="H44" t="n">
        <v>885.4</v>
      </c>
      <c r="I44" t="n">
        <v>63</v>
      </c>
      <c r="J44" t="n">
        <v>55780.2</v>
      </c>
      <c r="K44" t="n">
        <v>364.91</v>
      </c>
      <c r="L44" t="n">
        <v>63</v>
      </c>
      <c r="M44" t="n">
        <v>22989.33</v>
      </c>
    </row>
    <row r="45">
      <c r="A45" t="inlineStr">
        <is>
          <t>COL-043</t>
        </is>
      </c>
      <c r="B45" t="inlineStr">
        <is>
          <t>Power</t>
        </is>
      </c>
      <c r="C45" t="inlineStr">
        <is>
          <t>internet bandwidth per 100 Mbps</t>
        </is>
      </c>
      <c r="D45" t="inlineStr">
        <is>
          <t>Unit</t>
        </is>
      </c>
      <c r="E45" t="n">
        <v>355.65</v>
      </c>
      <c r="F45" t="n">
        <v>36</v>
      </c>
      <c r="G45" t="n">
        <v>12803.4</v>
      </c>
      <c r="H45" t="n">
        <v>623.59</v>
      </c>
      <c r="I45" t="n">
        <v>36</v>
      </c>
      <c r="J45" t="n">
        <v>22449.24</v>
      </c>
      <c r="K45" t="n">
        <v>237.98</v>
      </c>
      <c r="L45" t="n">
        <v>36</v>
      </c>
      <c r="M45" t="n">
        <v>8567.279999999999</v>
      </c>
    </row>
    <row r="46">
      <c r="A46" t="inlineStr">
        <is>
          <t>COL-044</t>
        </is>
      </c>
      <c r="B46" t="inlineStr">
        <is>
          <t>Connectivity</t>
        </is>
      </c>
      <c r="C46" t="inlineStr">
        <is>
          <t>dedicated internet access</t>
        </is>
      </c>
      <c r="D46" t="inlineStr">
        <is>
          <t>Unit</t>
        </is>
      </c>
      <c r="E46" t="n">
        <v>964.8</v>
      </c>
      <c r="F46" t="n">
        <v>64</v>
      </c>
      <c r="G46" t="n">
        <v>61747.2</v>
      </c>
      <c r="H46" t="n">
        <v>890.17</v>
      </c>
      <c r="I46" t="n">
        <v>64</v>
      </c>
      <c r="J46" t="n">
        <v>56970.88</v>
      </c>
      <c r="K46" t="n">
        <v>220.18</v>
      </c>
      <c r="L46" t="n">
        <v>64</v>
      </c>
      <c r="M46" t="n">
        <v>14091.52</v>
      </c>
    </row>
    <row r="47">
      <c r="A47" t="inlineStr">
        <is>
          <t>COL-045</t>
        </is>
      </c>
      <c r="B47" t="inlineStr">
        <is>
          <t>Remote Hands</t>
        </is>
      </c>
      <c r="C47" t="inlineStr">
        <is>
          <t>remote hands per hour</t>
        </is>
      </c>
      <c r="D47" t="inlineStr">
        <is>
          <t>Unit</t>
        </is>
      </c>
      <c r="E47" t="n">
        <v>827.1799999999999</v>
      </c>
      <c r="F47" t="n">
        <v>53</v>
      </c>
      <c r="G47" t="n">
        <v>43840.54</v>
      </c>
      <c r="H47" t="n">
        <v>216.41</v>
      </c>
      <c r="I47" t="n">
        <v>53</v>
      </c>
      <c r="J47" t="n">
        <v>11469.73</v>
      </c>
      <c r="K47" t="n">
        <v>670.54</v>
      </c>
      <c r="L47" t="n">
        <v>53</v>
      </c>
      <c r="M47" t="n">
        <v>35538.62</v>
      </c>
    </row>
    <row r="48">
      <c r="A48" t="inlineStr">
        <is>
          <t>COL-046</t>
        </is>
      </c>
      <c r="B48" t="inlineStr">
        <is>
          <t>Security</t>
        </is>
      </c>
      <c r="C48" t="inlineStr">
        <is>
          <t>smart hands per hour</t>
        </is>
      </c>
      <c r="D48" t="inlineStr">
        <is>
          <t>Unit</t>
        </is>
      </c>
      <c r="E48" t="n">
        <v>312.07</v>
      </c>
      <c r="F48" t="n">
        <v>80</v>
      </c>
      <c r="G48" t="n">
        <v>24965.6</v>
      </c>
      <c r="H48" t="n">
        <v>932.9299999999999</v>
      </c>
      <c r="I48" t="n">
        <v>80</v>
      </c>
      <c r="J48" t="n">
        <v>74634.39999999999</v>
      </c>
      <c r="K48" t="n">
        <v>157.73</v>
      </c>
      <c r="L48" t="n">
        <v>80</v>
      </c>
      <c r="M48" t="n">
        <v>12618.4</v>
      </c>
    </row>
    <row r="49">
      <c r="A49" t="inlineStr">
        <is>
          <t>COL-047</t>
        </is>
      </c>
      <c r="B49" t="inlineStr">
        <is>
          <t>Compliance</t>
        </is>
      </c>
      <c r="C49" t="inlineStr">
        <is>
          <t>cage space per sq ft</t>
        </is>
      </c>
      <c r="D49" t="inlineStr">
        <is>
          <t>Unit</t>
        </is>
      </c>
      <c r="E49" t="n">
        <v>588.26</v>
      </c>
      <c r="F49" t="n">
        <v>30</v>
      </c>
      <c r="G49" t="n">
        <v>17647.8</v>
      </c>
      <c r="H49" t="n">
        <v>800.12</v>
      </c>
      <c r="I49" t="n">
        <v>30</v>
      </c>
      <c r="J49" t="n">
        <v>24003.6</v>
      </c>
      <c r="K49" t="n">
        <v>657.54</v>
      </c>
      <c r="L49" t="n">
        <v>30</v>
      </c>
      <c r="M49" t="n">
        <v>19726.2</v>
      </c>
    </row>
    <row r="50">
      <c r="A50" t="inlineStr">
        <is>
          <t>COL-048</t>
        </is>
      </c>
      <c r="B50" t="inlineStr">
        <is>
          <t>Environmental</t>
        </is>
      </c>
      <c r="C50" t="inlineStr">
        <is>
          <t>cabinet lock upgrade</t>
        </is>
      </c>
      <c r="D50" t="inlineStr">
        <is>
          <t>Unit</t>
        </is>
      </c>
      <c r="E50" t="n">
        <v>733.02</v>
      </c>
      <c r="F50" t="n">
        <v>72</v>
      </c>
      <c r="G50" t="n">
        <v>52777.44</v>
      </c>
      <c r="H50" t="n">
        <v>191.99</v>
      </c>
      <c r="I50" t="n">
        <v>72</v>
      </c>
      <c r="J50" t="n">
        <v>13823.28</v>
      </c>
      <c r="K50" t="n">
        <v>129.69</v>
      </c>
      <c r="L50" t="n">
        <v>72</v>
      </c>
      <c r="M50" t="n">
        <v>9337.68</v>
      </c>
    </row>
    <row r="51">
      <c r="A51" t="inlineStr">
        <is>
          <t>COL-049</t>
        </is>
      </c>
      <c r="B51" t="inlineStr">
        <is>
          <t>Rack Space</t>
        </is>
      </c>
      <c r="C51" t="inlineStr">
        <is>
          <t>cable management per rack</t>
        </is>
      </c>
      <c r="D51" t="inlineStr">
        <is>
          <t>Unit</t>
        </is>
      </c>
      <c r="E51" t="n">
        <v>391.64</v>
      </c>
      <c r="F51" t="n">
        <v>37</v>
      </c>
      <c r="G51" t="n">
        <v>14490.68</v>
      </c>
      <c r="H51" t="n">
        <v>189.23</v>
      </c>
      <c r="I51" t="n">
        <v>37</v>
      </c>
      <c r="J51" t="n">
        <v>7001.509999999999</v>
      </c>
      <c r="K51" t="n">
        <v>293.19</v>
      </c>
      <c r="L51" t="n">
        <v>37</v>
      </c>
      <c r="M51" t="n">
        <v>10848.03</v>
      </c>
    </row>
    <row r="52">
      <c r="A52" t="inlineStr">
        <is>
          <t>COL-050</t>
        </is>
      </c>
      <c r="B52" t="inlineStr">
        <is>
          <t>Power</t>
        </is>
      </c>
      <c r="C52" t="inlineStr">
        <is>
          <t>environmental monitoring per sensor</t>
        </is>
      </c>
      <c r="D52" t="inlineStr">
        <is>
          <t>Unit</t>
        </is>
      </c>
      <c r="E52" t="n">
        <v>821.9400000000001</v>
      </c>
      <c r="F52" t="n">
        <v>51</v>
      </c>
      <c r="G52" t="n">
        <v>41918.94</v>
      </c>
      <c r="H52" t="n">
        <v>65.13</v>
      </c>
      <c r="I52" t="n">
        <v>51</v>
      </c>
      <c r="J52" t="n">
        <v>3321.63</v>
      </c>
      <c r="K52" t="n">
        <v>725.65</v>
      </c>
      <c r="L52" t="n">
        <v>51</v>
      </c>
      <c r="M52" t="n">
        <v>37008.15</v>
      </c>
    </row>
    <row r="53">
      <c r="A53" t="inlineStr">
        <is>
          <t>COL-051</t>
        </is>
      </c>
      <c r="B53" t="inlineStr">
        <is>
          <t>Connectivity</t>
        </is>
      </c>
      <c r="C53" t="inlineStr">
        <is>
          <t>fire suppression zone surcharge</t>
        </is>
      </c>
      <c r="D53" t="inlineStr">
        <is>
          <t>Unit</t>
        </is>
      </c>
      <c r="E53" t="n">
        <v>506.33</v>
      </c>
      <c r="F53" t="n">
        <v>86</v>
      </c>
      <c r="G53" t="n">
        <v>43544.38</v>
      </c>
      <c r="H53" t="n">
        <v>319.92</v>
      </c>
      <c r="I53" t="n">
        <v>86</v>
      </c>
      <c r="J53" t="n">
        <v>27513.12</v>
      </c>
      <c r="K53" t="n">
        <v>199.32</v>
      </c>
      <c r="L53" t="n">
        <v>86</v>
      </c>
      <c r="M53" t="n">
        <v>17141.52</v>
      </c>
    </row>
    <row r="54">
      <c r="A54" t="inlineStr">
        <is>
          <t>COL-052</t>
        </is>
      </c>
      <c r="B54" t="inlineStr">
        <is>
          <t>Remote Hands</t>
        </is>
      </c>
      <c r="C54" t="inlineStr">
        <is>
          <t>compliance audit support per hour</t>
        </is>
      </c>
      <c r="D54" t="inlineStr">
        <is>
          <t>Unit</t>
        </is>
      </c>
      <c r="E54" t="n">
        <v>904.3099999999999</v>
      </c>
      <c r="F54" t="n">
        <v>92</v>
      </c>
      <c r="G54" t="n">
        <v>83196.51999999999</v>
      </c>
      <c r="H54" t="n">
        <v>501.72</v>
      </c>
      <c r="I54" t="n">
        <v>92</v>
      </c>
      <c r="J54" t="n">
        <v>46158.24000000001</v>
      </c>
      <c r="K54" t="n">
        <v>533.55</v>
      </c>
      <c r="L54" t="n">
        <v>92</v>
      </c>
      <c r="M54" t="n">
        <v>49086.6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7" customWidth="1" min="4" max="4"/>
    <col width="8" customWidth="1" min="5" max="5"/>
    <col width="12" customWidth="1" min="6" max="6"/>
    <col width="14" customWidth="1" min="7" max="7"/>
    <col width="18" customWidth="1" min="8" max="8"/>
    <col width="18" customWidth="1" min="9" max="9"/>
    <col width="18" customWidth="1" min="10" max="10"/>
    <col width="15" customWidth="1" min="11" max="11"/>
    <col width="23" customWidth="1" min="12" max="12"/>
  </cols>
  <sheetData>
    <row r="1">
      <c r="A1" s="1" t="inlineStr">
        <is>
          <t>Service_ID</t>
        </is>
      </c>
      <c r="B1" s="1" t="inlineStr">
        <is>
          <t>Service_Category</t>
        </is>
      </c>
      <c r="C1" s="1" t="inlineStr">
        <is>
          <t>Instance_Type</t>
        </is>
      </c>
      <c r="D1" s="1" t="inlineStr">
        <is>
          <t>vCPUs</t>
        </is>
      </c>
      <c r="E1" s="1" t="inlineStr">
        <is>
          <t>RAM_GB</t>
        </is>
      </c>
      <c r="F1" s="1" t="inlineStr">
        <is>
          <t>Storage_GB</t>
        </is>
      </c>
      <c r="G1" s="1" t="inlineStr">
        <is>
          <t>Storage_Type</t>
        </is>
      </c>
      <c r="H1" s="1" t="inlineStr">
        <is>
          <t>Vendor_A_Monthly</t>
        </is>
      </c>
      <c r="I1" s="1" t="inlineStr">
        <is>
          <t>Vendor_B_Monthly</t>
        </is>
      </c>
      <c r="J1" s="1" t="inlineStr">
        <is>
          <t>Vendor_C_Monthly</t>
        </is>
      </c>
      <c r="K1" s="1" t="inlineStr">
        <is>
          <t>Pricing_Model</t>
        </is>
      </c>
      <c r="L1" s="1" t="inlineStr">
        <is>
          <t>Min_Commitment_Months</t>
        </is>
      </c>
    </row>
    <row r="2">
      <c r="A2" t="inlineStr">
        <is>
          <t>IAAS-001</t>
        </is>
      </c>
      <c r="B2" t="inlineStr">
        <is>
          <t>Object Storage</t>
        </is>
      </c>
      <c r="C2" t="inlineStr">
        <is>
          <t>XLarge (16/64)</t>
        </is>
      </c>
      <c r="D2" t="n">
        <v>4</v>
      </c>
      <c r="E2" t="n">
        <v>32</v>
      </c>
      <c r="F2" t="n">
        <v>1000</v>
      </c>
      <c r="G2" t="inlineStr">
        <is>
          <t>NVMe</t>
        </is>
      </c>
      <c r="H2" t="n">
        <v>277.47</v>
      </c>
      <c r="I2" t="n">
        <v>377.4</v>
      </c>
      <c r="J2" t="n">
        <v>351.2</v>
      </c>
      <c r="K2" t="inlineStr">
        <is>
          <t>Reserved</t>
        </is>
      </c>
      <c r="L2" t="n">
        <v>36</v>
      </c>
    </row>
    <row r="3">
      <c r="A3" t="inlineStr">
        <is>
          <t>IAAS-002</t>
        </is>
      </c>
      <c r="B3" t="inlineStr">
        <is>
          <t>Load Balancer</t>
        </is>
      </c>
      <c r="C3" t="inlineStr">
        <is>
          <t>GPU (8 vCPU + T4/A10)</t>
        </is>
      </c>
      <c r="D3" t="n">
        <v>16</v>
      </c>
      <c r="E3" t="n">
        <v>32</v>
      </c>
      <c r="F3" t="n">
        <v>500</v>
      </c>
      <c r="G3" t="inlineStr">
        <is>
          <t>NVMe</t>
        </is>
      </c>
      <c r="H3" t="n">
        <v>193.08</v>
      </c>
      <c r="I3" t="n">
        <v>398.05</v>
      </c>
      <c r="J3" t="n">
        <v>55.42</v>
      </c>
      <c r="K3" t="inlineStr">
        <is>
          <t>Reserved</t>
        </is>
      </c>
      <c r="L3" t="n">
        <v>12</v>
      </c>
    </row>
    <row r="4">
      <c r="A4" t="inlineStr">
        <is>
          <t>IAAS-003</t>
        </is>
      </c>
      <c r="B4" t="inlineStr">
        <is>
          <t>Block Storage</t>
        </is>
      </c>
      <c r="C4" t="inlineStr">
        <is>
          <t>XLarge (16/64)</t>
        </is>
      </c>
      <c r="D4" t="n">
        <v>4</v>
      </c>
      <c r="E4" t="n">
        <v>128</v>
      </c>
      <c r="F4" t="n">
        <v>500</v>
      </c>
      <c r="G4" t="inlineStr">
        <is>
          <t>SSD</t>
        </is>
      </c>
      <c r="H4" t="n">
        <v>191.58</v>
      </c>
      <c r="I4" t="n">
        <v>451.28</v>
      </c>
      <c r="J4" t="n">
        <v>175.36</v>
      </c>
      <c r="K4" t="inlineStr">
        <is>
          <t>Reserved</t>
        </is>
      </c>
      <c r="L4" t="n">
        <v>36</v>
      </c>
    </row>
    <row r="5">
      <c r="A5" t="inlineStr">
        <is>
          <t>IAAS-004</t>
        </is>
      </c>
      <c r="B5" t="inlineStr">
        <is>
          <t>Managed Database</t>
        </is>
      </c>
      <c r="C5" t="inlineStr">
        <is>
          <t>XLarge (16/64)</t>
        </is>
      </c>
      <c r="D5" t="n">
        <v>2</v>
      </c>
      <c r="E5" t="n">
        <v>64</v>
      </c>
      <c r="F5" t="n">
        <v>500</v>
      </c>
      <c r="G5" t="inlineStr">
        <is>
          <t>NVMe</t>
        </is>
      </c>
      <c r="H5" t="n">
        <v>495.42</v>
      </c>
      <c r="I5" t="n">
        <v>166.72</v>
      </c>
      <c r="J5" t="n">
        <v>389.12</v>
      </c>
      <c r="K5" t="inlineStr">
        <is>
          <t>Reserved</t>
        </is>
      </c>
      <c r="L5" t="n">
        <v>12</v>
      </c>
    </row>
    <row r="6">
      <c r="A6" t="inlineStr">
        <is>
          <t>IAAS-005</t>
        </is>
      </c>
      <c r="B6" t="inlineStr">
        <is>
          <t>Block Storage</t>
        </is>
      </c>
      <c r="C6" t="inlineStr">
        <is>
          <t>XLarge (16/64)</t>
        </is>
      </c>
      <c r="D6" t="n">
        <v>2</v>
      </c>
      <c r="E6" t="n">
        <v>8</v>
      </c>
      <c r="F6" t="n">
        <v>1000</v>
      </c>
      <c r="G6" t="inlineStr">
        <is>
          <t>HDD</t>
        </is>
      </c>
      <c r="H6" t="n">
        <v>141.82</v>
      </c>
      <c r="I6" t="n">
        <v>192.82</v>
      </c>
      <c r="J6" t="n">
        <v>396.92</v>
      </c>
      <c r="K6" t="inlineStr">
        <is>
          <t>On-Demand</t>
        </is>
      </c>
      <c r="L6" t="n">
        <v>0</v>
      </c>
    </row>
    <row r="7">
      <c r="A7" t="inlineStr">
        <is>
          <t>IAAS-006</t>
        </is>
      </c>
      <c r="B7" t="inlineStr">
        <is>
          <t>Managed Database</t>
        </is>
      </c>
      <c r="C7" t="inlineStr">
        <is>
          <t>Medium (4/16)</t>
        </is>
      </c>
      <c r="D7" t="n">
        <v>2</v>
      </c>
      <c r="E7" t="n">
        <v>16</v>
      </c>
      <c r="F7" t="n">
        <v>500</v>
      </c>
      <c r="G7" t="inlineStr">
        <is>
          <t>HDD</t>
        </is>
      </c>
      <c r="H7" t="n">
        <v>146.03</v>
      </c>
      <c r="I7" t="n">
        <v>496.42</v>
      </c>
      <c r="J7" t="n">
        <v>180.21</v>
      </c>
      <c r="K7" t="inlineStr">
        <is>
          <t>On-Demand</t>
        </is>
      </c>
      <c r="L7" t="n">
        <v>0</v>
      </c>
    </row>
    <row r="8">
      <c r="A8" t="inlineStr">
        <is>
          <t>IAAS-007</t>
        </is>
      </c>
      <c r="B8" t="inlineStr">
        <is>
          <t>Load Balancer</t>
        </is>
      </c>
      <c r="C8" t="inlineStr">
        <is>
          <t>GPU (8 vCPU + T4/A10)</t>
        </is>
      </c>
      <c r="D8" t="n">
        <v>8</v>
      </c>
      <c r="E8" t="n">
        <v>128</v>
      </c>
      <c r="F8" t="n">
        <v>100</v>
      </c>
      <c r="G8" t="inlineStr">
        <is>
          <t>SSD</t>
        </is>
      </c>
      <c r="H8" t="n">
        <v>357.88</v>
      </c>
      <c r="I8" t="n">
        <v>432.61</v>
      </c>
      <c r="J8" t="n">
        <v>196.35</v>
      </c>
      <c r="K8" t="inlineStr">
        <is>
          <t>On-Demand</t>
        </is>
      </c>
      <c r="L8" t="n">
        <v>12</v>
      </c>
    </row>
    <row r="9">
      <c r="A9" t="inlineStr">
        <is>
          <t>IAAS-008</t>
        </is>
      </c>
      <c r="B9" t="inlineStr">
        <is>
          <t>Compute (Reserved)</t>
        </is>
      </c>
      <c r="C9" t="inlineStr">
        <is>
          <t>Medium (4/16)</t>
        </is>
      </c>
      <c r="D9" t="n">
        <v>16</v>
      </c>
      <c r="E9" t="n">
        <v>128</v>
      </c>
      <c r="F9" t="n">
        <v>100</v>
      </c>
      <c r="G9" t="inlineStr">
        <is>
          <t>NVMe</t>
        </is>
      </c>
      <c r="H9" t="n">
        <v>485.57</v>
      </c>
      <c r="I9" t="n">
        <v>494.98</v>
      </c>
      <c r="J9" t="n">
        <v>437.62</v>
      </c>
      <c r="K9" t="inlineStr">
        <is>
          <t>Reserved</t>
        </is>
      </c>
      <c r="L9" t="n">
        <v>36</v>
      </c>
    </row>
    <row r="10">
      <c r="A10" t="inlineStr">
        <is>
          <t>IAAS-009</t>
        </is>
      </c>
      <c r="B10" t="inlineStr">
        <is>
          <t>Compute (Reserved)</t>
        </is>
      </c>
      <c r="C10" t="inlineStr">
        <is>
          <t>GPU (8 vCPU + T4/A10)</t>
        </is>
      </c>
      <c r="D10" t="n">
        <v>2</v>
      </c>
      <c r="E10" t="n">
        <v>32</v>
      </c>
      <c r="F10" t="n">
        <v>500</v>
      </c>
      <c r="G10" t="inlineStr">
        <is>
          <t>NVMe</t>
        </is>
      </c>
      <c r="H10" t="n">
        <v>87.16</v>
      </c>
      <c r="I10" t="n">
        <v>180.5</v>
      </c>
      <c r="J10" t="n">
        <v>381.06</v>
      </c>
      <c r="K10" t="inlineStr">
        <is>
          <t>Reserved</t>
        </is>
      </c>
      <c r="L10" t="n">
        <v>36</v>
      </c>
    </row>
    <row r="11">
      <c r="A11" t="inlineStr">
        <is>
          <t>IAAS-010</t>
        </is>
      </c>
      <c r="B11" t="inlineStr">
        <is>
          <t>Managed Database</t>
        </is>
      </c>
      <c r="C11" t="inlineStr">
        <is>
          <t>XLarge (16/64)</t>
        </is>
      </c>
      <c r="D11" t="n">
        <v>32</v>
      </c>
      <c r="E11" t="n">
        <v>32</v>
      </c>
      <c r="F11" t="n">
        <v>1000</v>
      </c>
      <c r="G11" t="inlineStr">
        <is>
          <t>NVMe</t>
        </is>
      </c>
      <c r="H11" t="n">
        <v>472.83</v>
      </c>
      <c r="I11" t="n">
        <v>416.46</v>
      </c>
      <c r="J11" t="n">
        <v>444.65</v>
      </c>
      <c r="K11" t="inlineStr">
        <is>
          <t>Reserved</t>
        </is>
      </c>
      <c r="L11" t="n">
        <v>12</v>
      </c>
    </row>
    <row r="12">
      <c r="A12" t="inlineStr">
        <is>
          <t>IAAS-011</t>
        </is>
      </c>
      <c r="B12" t="inlineStr">
        <is>
          <t>Egress</t>
        </is>
      </c>
      <c r="C12" t="inlineStr">
        <is>
          <t>2XLarge (32/128)</t>
        </is>
      </c>
      <c r="D12" t="n">
        <v>4</v>
      </c>
      <c r="E12" t="n">
        <v>16</v>
      </c>
      <c r="F12" t="n">
        <v>500</v>
      </c>
      <c r="G12" t="inlineStr">
        <is>
          <t>SSD</t>
        </is>
      </c>
      <c r="H12" t="n">
        <v>49.18</v>
      </c>
      <c r="I12" t="n">
        <v>259.8</v>
      </c>
      <c r="J12" t="n">
        <v>339.07</v>
      </c>
      <c r="K12" t="inlineStr">
        <is>
          <t>Reserved</t>
        </is>
      </c>
      <c r="L12" t="n">
        <v>0</v>
      </c>
    </row>
    <row r="13">
      <c r="A13" t="inlineStr">
        <is>
          <t>IAAS-012</t>
        </is>
      </c>
      <c r="B13" t="inlineStr">
        <is>
          <t>VPN Gateway</t>
        </is>
      </c>
      <c r="C13" t="inlineStr">
        <is>
          <t>Large (8/32)</t>
        </is>
      </c>
      <c r="D13" t="n">
        <v>8</v>
      </c>
      <c r="E13" t="n">
        <v>64</v>
      </c>
      <c r="F13" t="n">
        <v>1000</v>
      </c>
      <c r="G13" t="inlineStr">
        <is>
          <t>HDD</t>
        </is>
      </c>
      <c r="H13" t="n">
        <v>30.5</v>
      </c>
      <c r="I13" t="n">
        <v>144.13</v>
      </c>
      <c r="J13" t="n">
        <v>98.66</v>
      </c>
      <c r="K13" t="inlineStr">
        <is>
          <t>Reserved</t>
        </is>
      </c>
      <c r="L13" t="n">
        <v>12</v>
      </c>
    </row>
    <row r="14">
      <c r="A14" t="inlineStr">
        <is>
          <t>IAAS-013</t>
        </is>
      </c>
      <c r="B14" t="inlineStr">
        <is>
          <t>Managed Database</t>
        </is>
      </c>
      <c r="C14" t="inlineStr">
        <is>
          <t>XLarge (16/64)</t>
        </is>
      </c>
      <c r="D14" t="n">
        <v>4</v>
      </c>
      <c r="E14" t="n">
        <v>32</v>
      </c>
      <c r="F14" t="n">
        <v>500</v>
      </c>
      <c r="G14" t="inlineStr">
        <is>
          <t>SSD</t>
        </is>
      </c>
      <c r="H14" t="n">
        <v>273.07</v>
      </c>
      <c r="I14" t="n">
        <v>182.87</v>
      </c>
      <c r="J14" t="n">
        <v>72.03</v>
      </c>
      <c r="K14" t="inlineStr">
        <is>
          <t>On-Demand</t>
        </is>
      </c>
      <c r="L14" t="n">
        <v>12</v>
      </c>
    </row>
    <row r="15">
      <c r="A15" t="inlineStr">
        <is>
          <t>IAAS-014</t>
        </is>
      </c>
      <c r="B15" t="inlineStr">
        <is>
          <t>DDoS Protection</t>
        </is>
      </c>
      <c r="C15" t="inlineStr">
        <is>
          <t>GPU (8 vCPU + T4/A10)</t>
        </is>
      </c>
      <c r="D15" t="n">
        <v>4</v>
      </c>
      <c r="E15" t="n">
        <v>64</v>
      </c>
      <c r="F15" t="n">
        <v>500</v>
      </c>
      <c r="G15" t="inlineStr">
        <is>
          <t>NVMe</t>
        </is>
      </c>
      <c r="H15" t="n">
        <v>345.48</v>
      </c>
      <c r="I15" t="n">
        <v>71.05</v>
      </c>
      <c r="J15" t="n">
        <v>304.59</v>
      </c>
      <c r="K15" t="inlineStr">
        <is>
          <t>Reserved</t>
        </is>
      </c>
      <c r="L15" t="n">
        <v>12</v>
      </c>
    </row>
    <row r="16">
      <c r="A16" t="inlineStr">
        <is>
          <t>IAAS-015</t>
        </is>
      </c>
      <c r="B16" t="inlineStr">
        <is>
          <t>DDoS Protection</t>
        </is>
      </c>
      <c r="C16" t="inlineStr">
        <is>
          <t>Small (2 vCPU/8 GB)</t>
        </is>
      </c>
      <c r="D16" t="n">
        <v>4</v>
      </c>
      <c r="E16" t="n">
        <v>128</v>
      </c>
      <c r="F16" t="n">
        <v>100</v>
      </c>
      <c r="G16" t="inlineStr">
        <is>
          <t>SSD</t>
        </is>
      </c>
      <c r="H16" t="n">
        <v>196.69</v>
      </c>
      <c r="I16" t="n">
        <v>26.43</v>
      </c>
      <c r="J16" t="n">
        <v>362.42</v>
      </c>
      <c r="K16" t="inlineStr">
        <is>
          <t>Reserved</t>
        </is>
      </c>
      <c r="L16" t="n">
        <v>12</v>
      </c>
    </row>
    <row r="17">
      <c r="A17" t="inlineStr">
        <is>
          <t>IAAS-016</t>
        </is>
      </c>
      <c r="B17" t="inlineStr">
        <is>
          <t>VPN Gateway</t>
        </is>
      </c>
      <c r="C17" t="inlineStr">
        <is>
          <t>Medium (4/16)</t>
        </is>
      </c>
      <c r="D17" t="n">
        <v>4</v>
      </c>
      <c r="E17" t="n">
        <v>64</v>
      </c>
      <c r="F17" t="n">
        <v>500</v>
      </c>
      <c r="G17" t="inlineStr">
        <is>
          <t>HDD</t>
        </is>
      </c>
      <c r="H17" t="n">
        <v>33.09</v>
      </c>
      <c r="I17" t="n">
        <v>143.8</v>
      </c>
      <c r="J17" t="n">
        <v>152.96</v>
      </c>
      <c r="K17" t="inlineStr">
        <is>
          <t>Reserved</t>
        </is>
      </c>
      <c r="L17" t="n">
        <v>36</v>
      </c>
    </row>
    <row r="18">
      <c r="A18" t="inlineStr">
        <is>
          <t>IAAS-017</t>
        </is>
      </c>
      <c r="B18" t="inlineStr">
        <is>
          <t>Egress</t>
        </is>
      </c>
      <c r="C18" t="inlineStr">
        <is>
          <t>Large (8/32)</t>
        </is>
      </c>
      <c r="D18" t="n">
        <v>2</v>
      </c>
      <c r="E18" t="n">
        <v>8</v>
      </c>
      <c r="F18" t="n">
        <v>500</v>
      </c>
      <c r="G18" t="inlineStr">
        <is>
          <t>SSD</t>
        </is>
      </c>
      <c r="H18" t="n">
        <v>260</v>
      </c>
      <c r="I18" t="n">
        <v>279.43</v>
      </c>
      <c r="J18" t="n">
        <v>331.97</v>
      </c>
      <c r="K18" t="inlineStr">
        <is>
          <t>On-Demand</t>
        </is>
      </c>
      <c r="L18" t="n">
        <v>12</v>
      </c>
    </row>
    <row r="19">
      <c r="A19" t="inlineStr">
        <is>
          <t>IAAS-018</t>
        </is>
      </c>
      <c r="B19" t="inlineStr">
        <is>
          <t>DDoS Protection</t>
        </is>
      </c>
      <c r="C19" t="inlineStr">
        <is>
          <t>Medium (4/16)</t>
        </is>
      </c>
      <c r="D19" t="n">
        <v>8</v>
      </c>
      <c r="E19" t="n">
        <v>16</v>
      </c>
      <c r="F19" t="n">
        <v>100</v>
      </c>
      <c r="G19" t="inlineStr">
        <is>
          <t>SSD</t>
        </is>
      </c>
      <c r="H19" t="n">
        <v>133.65</v>
      </c>
      <c r="I19" t="n">
        <v>255.69</v>
      </c>
      <c r="J19" t="n">
        <v>216.48</v>
      </c>
      <c r="K19" t="inlineStr">
        <is>
          <t>On-Demand</t>
        </is>
      </c>
      <c r="L19" t="n">
        <v>36</v>
      </c>
    </row>
    <row r="20">
      <c r="A20" t="inlineStr">
        <is>
          <t>IAAS-019</t>
        </is>
      </c>
      <c r="B20" t="inlineStr">
        <is>
          <t>Load Balancer</t>
        </is>
      </c>
      <c r="C20" t="inlineStr">
        <is>
          <t>2XLarge (32/128)</t>
        </is>
      </c>
      <c r="D20" t="n">
        <v>2</v>
      </c>
      <c r="E20" t="n">
        <v>8</v>
      </c>
      <c r="F20" t="n">
        <v>1000</v>
      </c>
      <c r="G20" t="inlineStr">
        <is>
          <t>HDD</t>
        </is>
      </c>
      <c r="H20" t="n">
        <v>329.76</v>
      </c>
      <c r="I20" t="n">
        <v>326.53</v>
      </c>
      <c r="J20" t="n">
        <v>417.72</v>
      </c>
      <c r="K20" t="inlineStr">
        <is>
          <t>Reserved</t>
        </is>
      </c>
      <c r="L20" t="n">
        <v>12</v>
      </c>
    </row>
    <row r="21">
      <c r="A21" t="inlineStr">
        <is>
          <t>IAAS-020</t>
        </is>
      </c>
      <c r="B21" t="inlineStr">
        <is>
          <t>DDoS Protection</t>
        </is>
      </c>
      <c r="C21" t="inlineStr">
        <is>
          <t>Large (8/32)</t>
        </is>
      </c>
      <c r="D21" t="n">
        <v>4</v>
      </c>
      <c r="E21" t="n">
        <v>32</v>
      </c>
      <c r="F21" t="n">
        <v>1000</v>
      </c>
      <c r="G21" t="inlineStr">
        <is>
          <t>HDD</t>
        </is>
      </c>
      <c r="H21" t="n">
        <v>426.33</v>
      </c>
      <c r="I21" t="n">
        <v>499.32</v>
      </c>
      <c r="J21" t="n">
        <v>497.17</v>
      </c>
      <c r="K21" t="inlineStr">
        <is>
          <t>Reserved</t>
        </is>
      </c>
      <c r="L21" t="n">
        <v>36</v>
      </c>
    </row>
    <row r="22">
      <c r="A22" t="inlineStr">
        <is>
          <t>IAAS-021</t>
        </is>
      </c>
      <c r="B22" t="inlineStr">
        <is>
          <t>DDoS Protection</t>
        </is>
      </c>
      <c r="C22" t="inlineStr">
        <is>
          <t>Large (8/32)</t>
        </is>
      </c>
      <c r="D22" t="n">
        <v>2</v>
      </c>
      <c r="E22" t="n">
        <v>32</v>
      </c>
      <c r="F22" t="n">
        <v>500</v>
      </c>
      <c r="G22" t="inlineStr">
        <is>
          <t>NVMe</t>
        </is>
      </c>
      <c r="H22" t="n">
        <v>485.6</v>
      </c>
      <c r="I22" t="n">
        <v>482.84</v>
      </c>
      <c r="J22" t="n">
        <v>217.45</v>
      </c>
      <c r="K22" t="inlineStr">
        <is>
          <t>Reserved</t>
        </is>
      </c>
      <c r="L22" t="n">
        <v>12</v>
      </c>
    </row>
    <row r="23">
      <c r="A23" t="inlineStr">
        <is>
          <t>IAAS-022</t>
        </is>
      </c>
      <c r="B23" t="inlineStr">
        <is>
          <t>DDoS Protection</t>
        </is>
      </c>
      <c r="C23" t="inlineStr">
        <is>
          <t>Large (8/32)</t>
        </is>
      </c>
      <c r="D23" t="n">
        <v>2</v>
      </c>
      <c r="E23" t="n">
        <v>128</v>
      </c>
      <c r="F23" t="n">
        <v>100</v>
      </c>
      <c r="G23" t="inlineStr">
        <is>
          <t>SSD</t>
        </is>
      </c>
      <c r="H23" t="n">
        <v>467.33</v>
      </c>
      <c r="I23" t="n">
        <v>317.36</v>
      </c>
      <c r="J23" t="n">
        <v>85.04000000000001</v>
      </c>
      <c r="K23" t="inlineStr">
        <is>
          <t>Reserved</t>
        </is>
      </c>
      <c r="L23" t="n">
        <v>0</v>
      </c>
    </row>
    <row r="24">
      <c r="A24" t="inlineStr">
        <is>
          <t>IAAS-023</t>
        </is>
      </c>
      <c r="B24" t="inlineStr">
        <is>
          <t>Egress</t>
        </is>
      </c>
      <c r="C24" t="inlineStr">
        <is>
          <t>2XLarge (32/128)</t>
        </is>
      </c>
      <c r="D24" t="n">
        <v>2</v>
      </c>
      <c r="E24" t="n">
        <v>64</v>
      </c>
      <c r="F24" t="n">
        <v>100</v>
      </c>
      <c r="G24" t="inlineStr">
        <is>
          <t>HDD</t>
        </is>
      </c>
      <c r="H24" t="n">
        <v>61.85</v>
      </c>
      <c r="I24" t="n">
        <v>74.78</v>
      </c>
      <c r="J24" t="n">
        <v>336.63</v>
      </c>
      <c r="K24" t="inlineStr">
        <is>
          <t>Reserved</t>
        </is>
      </c>
      <c r="L24" t="n">
        <v>0</v>
      </c>
    </row>
    <row r="25">
      <c r="A25" t="inlineStr">
        <is>
          <t>IAAS-024</t>
        </is>
      </c>
      <c r="B25" t="inlineStr">
        <is>
          <t>Managed Database</t>
        </is>
      </c>
      <c r="C25" t="inlineStr">
        <is>
          <t>XLarge (16/64)</t>
        </is>
      </c>
      <c r="D25" t="n">
        <v>8</v>
      </c>
      <c r="E25" t="n">
        <v>16</v>
      </c>
      <c r="F25" t="n">
        <v>100</v>
      </c>
      <c r="G25" t="inlineStr">
        <is>
          <t>SSD</t>
        </is>
      </c>
      <c r="H25" t="n">
        <v>458.58</v>
      </c>
      <c r="I25" t="n">
        <v>243.27</v>
      </c>
      <c r="J25" t="n">
        <v>149.68</v>
      </c>
      <c r="K25" t="inlineStr">
        <is>
          <t>On-Demand</t>
        </is>
      </c>
      <c r="L25" t="n">
        <v>36</v>
      </c>
    </row>
    <row r="26">
      <c r="A26" t="inlineStr">
        <is>
          <t>IAAS-025</t>
        </is>
      </c>
      <c r="B26" t="inlineStr">
        <is>
          <t>Object Storage</t>
        </is>
      </c>
      <c r="C26" t="inlineStr">
        <is>
          <t>Large (8/32)</t>
        </is>
      </c>
      <c r="D26" t="n">
        <v>4</v>
      </c>
      <c r="E26" t="n">
        <v>128</v>
      </c>
      <c r="F26" t="n">
        <v>100</v>
      </c>
      <c r="G26" t="inlineStr">
        <is>
          <t>NVMe</t>
        </is>
      </c>
      <c r="H26" t="n">
        <v>412.66</v>
      </c>
      <c r="I26" t="n">
        <v>299.89</v>
      </c>
      <c r="J26" t="n">
        <v>211.62</v>
      </c>
      <c r="K26" t="inlineStr">
        <is>
          <t>Reserved</t>
        </is>
      </c>
      <c r="L26" t="n">
        <v>36</v>
      </c>
    </row>
    <row r="27">
      <c r="A27" t="inlineStr">
        <is>
          <t>IAAS-026</t>
        </is>
      </c>
      <c r="B27" t="inlineStr">
        <is>
          <t>Compute (On-Demand)</t>
        </is>
      </c>
      <c r="C27" t="inlineStr">
        <is>
          <t>2XLarge (32/128)</t>
        </is>
      </c>
      <c r="D27" t="n">
        <v>8</v>
      </c>
      <c r="E27" t="n">
        <v>128</v>
      </c>
      <c r="F27" t="n">
        <v>1000</v>
      </c>
      <c r="G27" t="inlineStr">
        <is>
          <t>SSD</t>
        </is>
      </c>
      <c r="H27" t="n">
        <v>88.67</v>
      </c>
      <c r="I27" t="n">
        <v>115.71</v>
      </c>
      <c r="J27" t="n">
        <v>437.34</v>
      </c>
      <c r="K27" t="inlineStr">
        <is>
          <t>On-Demand</t>
        </is>
      </c>
      <c r="L27" t="n">
        <v>0</v>
      </c>
    </row>
    <row r="28">
      <c r="A28" t="inlineStr">
        <is>
          <t>IAAS-027</t>
        </is>
      </c>
      <c r="B28" t="inlineStr">
        <is>
          <t>Load Balancer</t>
        </is>
      </c>
      <c r="C28" t="inlineStr">
        <is>
          <t>Large (8/32)</t>
        </is>
      </c>
      <c r="D28" t="n">
        <v>2</v>
      </c>
      <c r="E28" t="n">
        <v>16</v>
      </c>
      <c r="F28" t="n">
        <v>100</v>
      </c>
      <c r="G28" t="inlineStr">
        <is>
          <t>SSD</t>
        </is>
      </c>
      <c r="H28" t="n">
        <v>89.72</v>
      </c>
      <c r="I28" t="n">
        <v>68.89</v>
      </c>
      <c r="J28" t="n">
        <v>346.06</v>
      </c>
      <c r="K28" t="inlineStr">
        <is>
          <t>On-Demand</t>
        </is>
      </c>
      <c r="L28" t="n">
        <v>0</v>
      </c>
    </row>
    <row r="29">
      <c r="A29" t="inlineStr">
        <is>
          <t>IAAS-028</t>
        </is>
      </c>
      <c r="B29" t="inlineStr">
        <is>
          <t>Compute (Reserved)</t>
        </is>
      </c>
      <c r="C29" t="inlineStr">
        <is>
          <t>GPU (8 vCPU + T4/A10)</t>
        </is>
      </c>
      <c r="D29" t="n">
        <v>8</v>
      </c>
      <c r="E29" t="n">
        <v>64</v>
      </c>
      <c r="F29" t="n">
        <v>500</v>
      </c>
      <c r="G29" t="inlineStr">
        <is>
          <t>SSD</t>
        </is>
      </c>
      <c r="H29" t="n">
        <v>228.01</v>
      </c>
      <c r="I29" t="n">
        <v>43.35</v>
      </c>
      <c r="J29" t="n">
        <v>167.18</v>
      </c>
      <c r="K29" t="inlineStr">
        <is>
          <t>On-Demand</t>
        </is>
      </c>
      <c r="L29" t="n">
        <v>0</v>
      </c>
    </row>
    <row r="30">
      <c r="A30" t="inlineStr">
        <is>
          <t>IAAS-029</t>
        </is>
      </c>
      <c r="B30" t="inlineStr">
        <is>
          <t>Backup Storage</t>
        </is>
      </c>
      <c r="C30" t="inlineStr">
        <is>
          <t>GPU (8 vCPU + T4/A10)</t>
        </is>
      </c>
      <c r="D30" t="n">
        <v>16</v>
      </c>
      <c r="E30" t="n">
        <v>128</v>
      </c>
      <c r="F30" t="n">
        <v>500</v>
      </c>
      <c r="G30" t="inlineStr">
        <is>
          <t>SSD</t>
        </is>
      </c>
      <c r="H30" t="n">
        <v>351.89</v>
      </c>
      <c r="I30" t="n">
        <v>157.04</v>
      </c>
      <c r="J30" t="n">
        <v>330.37</v>
      </c>
      <c r="K30" t="inlineStr">
        <is>
          <t>On-Demand</t>
        </is>
      </c>
      <c r="L30" t="n">
        <v>12</v>
      </c>
    </row>
    <row r="31">
      <c r="A31" t="inlineStr">
        <is>
          <t>IAAS-030</t>
        </is>
      </c>
      <c r="B31" t="inlineStr">
        <is>
          <t>Managed Database</t>
        </is>
      </c>
      <c r="C31" t="inlineStr">
        <is>
          <t>GPU (8 vCPU + T4/A10)</t>
        </is>
      </c>
      <c r="D31" t="n">
        <v>16</v>
      </c>
      <c r="E31" t="n">
        <v>16</v>
      </c>
      <c r="F31" t="n">
        <v>1000</v>
      </c>
      <c r="G31" t="inlineStr">
        <is>
          <t>NVMe</t>
        </is>
      </c>
      <c r="H31" t="n">
        <v>395.36</v>
      </c>
      <c r="I31" t="n">
        <v>453.56</v>
      </c>
      <c r="J31" t="n">
        <v>250.89</v>
      </c>
      <c r="K31" t="inlineStr">
        <is>
          <t>Reserved</t>
        </is>
      </c>
      <c r="L31" t="n">
        <v>0</v>
      </c>
    </row>
    <row r="32">
      <c r="A32" t="inlineStr">
        <is>
          <t>IAAS-031</t>
        </is>
      </c>
      <c r="B32" t="inlineStr">
        <is>
          <t>Object Storage</t>
        </is>
      </c>
      <c r="C32" t="inlineStr">
        <is>
          <t>Medium (4/16)</t>
        </is>
      </c>
      <c r="D32" t="n">
        <v>2</v>
      </c>
      <c r="E32" t="n">
        <v>32</v>
      </c>
      <c r="F32" t="n">
        <v>500</v>
      </c>
      <c r="G32" t="inlineStr">
        <is>
          <t>HDD</t>
        </is>
      </c>
      <c r="H32" t="n">
        <v>291.33</v>
      </c>
      <c r="I32" t="n">
        <v>350.95</v>
      </c>
      <c r="J32" t="n">
        <v>207.43</v>
      </c>
      <c r="K32" t="inlineStr">
        <is>
          <t>On-Demand</t>
        </is>
      </c>
      <c r="L32" t="n">
        <v>12</v>
      </c>
    </row>
    <row r="33">
      <c r="A33" t="inlineStr">
        <is>
          <t>IAAS-032</t>
        </is>
      </c>
      <c r="B33" t="inlineStr">
        <is>
          <t>Load Balancer</t>
        </is>
      </c>
      <c r="C33" t="inlineStr">
        <is>
          <t>Large (8/32)</t>
        </is>
      </c>
      <c r="D33" t="n">
        <v>32</v>
      </c>
      <c r="E33" t="n">
        <v>16</v>
      </c>
      <c r="F33" t="n">
        <v>100</v>
      </c>
      <c r="G33" t="inlineStr">
        <is>
          <t>NVMe</t>
        </is>
      </c>
      <c r="H33" t="n">
        <v>160.82</v>
      </c>
      <c r="I33" t="n">
        <v>155</v>
      </c>
      <c r="J33" t="n">
        <v>88.37</v>
      </c>
      <c r="K33" t="inlineStr">
        <is>
          <t>On-Demand</t>
        </is>
      </c>
      <c r="L33" t="n">
        <v>12</v>
      </c>
    </row>
    <row r="34">
      <c r="A34" t="inlineStr">
        <is>
          <t>IAAS-033</t>
        </is>
      </c>
      <c r="B34" t="inlineStr">
        <is>
          <t>Egress</t>
        </is>
      </c>
      <c r="C34" t="inlineStr">
        <is>
          <t>GPU (8 vCPU + T4/A10)</t>
        </is>
      </c>
      <c r="D34" t="n">
        <v>32</v>
      </c>
      <c r="E34" t="n">
        <v>32</v>
      </c>
      <c r="F34" t="n">
        <v>500</v>
      </c>
      <c r="G34" t="inlineStr">
        <is>
          <t>NVMe</t>
        </is>
      </c>
      <c r="H34" t="n">
        <v>90.40000000000001</v>
      </c>
      <c r="I34" t="n">
        <v>145.78</v>
      </c>
      <c r="J34" t="n">
        <v>260.86</v>
      </c>
      <c r="K34" t="inlineStr">
        <is>
          <t>On-Demand</t>
        </is>
      </c>
      <c r="L34" t="n">
        <v>12</v>
      </c>
    </row>
    <row r="35">
      <c r="A35" t="inlineStr">
        <is>
          <t>IAAS-034</t>
        </is>
      </c>
      <c r="B35" t="inlineStr">
        <is>
          <t>Object Storage</t>
        </is>
      </c>
      <c r="C35" t="inlineStr">
        <is>
          <t>Medium (4/16)</t>
        </is>
      </c>
      <c r="D35" t="n">
        <v>2</v>
      </c>
      <c r="E35" t="n">
        <v>128</v>
      </c>
      <c r="F35" t="n">
        <v>500</v>
      </c>
      <c r="G35" t="inlineStr">
        <is>
          <t>NVMe</t>
        </is>
      </c>
      <c r="H35" t="n">
        <v>198.28</v>
      </c>
      <c r="I35" t="n">
        <v>389.76</v>
      </c>
      <c r="J35" t="n">
        <v>497.63</v>
      </c>
      <c r="K35" t="inlineStr">
        <is>
          <t>Reserved</t>
        </is>
      </c>
      <c r="L35" t="n">
        <v>36</v>
      </c>
    </row>
    <row r="36">
      <c r="A36" t="inlineStr">
        <is>
          <t>IAAS-035</t>
        </is>
      </c>
      <c r="B36" t="inlineStr">
        <is>
          <t>Block Storage</t>
        </is>
      </c>
      <c r="C36" t="inlineStr">
        <is>
          <t>XLarge (16/64)</t>
        </is>
      </c>
      <c r="D36" t="n">
        <v>32</v>
      </c>
      <c r="E36" t="n">
        <v>32</v>
      </c>
      <c r="F36" t="n">
        <v>1000</v>
      </c>
      <c r="G36" t="inlineStr">
        <is>
          <t>SSD</t>
        </is>
      </c>
      <c r="H36" t="n">
        <v>284.07</v>
      </c>
      <c r="I36" t="n">
        <v>88.97</v>
      </c>
      <c r="J36" t="n">
        <v>261.01</v>
      </c>
      <c r="K36" t="inlineStr">
        <is>
          <t>Reserved</t>
        </is>
      </c>
      <c r="L36" t="n">
        <v>36</v>
      </c>
    </row>
    <row r="37">
      <c r="A37" t="inlineStr">
        <is>
          <t>IAAS-036</t>
        </is>
      </c>
      <c r="B37" t="inlineStr">
        <is>
          <t>DDoS Protection</t>
        </is>
      </c>
      <c r="C37" t="inlineStr">
        <is>
          <t>2XLarge (32/128)</t>
        </is>
      </c>
      <c r="D37" t="n">
        <v>32</v>
      </c>
      <c r="E37" t="n">
        <v>8</v>
      </c>
      <c r="F37" t="n">
        <v>100</v>
      </c>
      <c r="G37" t="inlineStr">
        <is>
          <t>HDD</t>
        </is>
      </c>
      <c r="H37" t="n">
        <v>45.04</v>
      </c>
      <c r="I37" t="n">
        <v>124.39</v>
      </c>
      <c r="J37" t="n">
        <v>498.09</v>
      </c>
      <c r="K37" t="inlineStr">
        <is>
          <t>On-Demand</t>
        </is>
      </c>
      <c r="L37" t="n">
        <v>12</v>
      </c>
    </row>
    <row r="38">
      <c r="A38" t="inlineStr">
        <is>
          <t>IAAS-037</t>
        </is>
      </c>
      <c r="B38" t="inlineStr">
        <is>
          <t>Object Storage</t>
        </is>
      </c>
      <c r="C38" t="inlineStr">
        <is>
          <t>Medium (4/16)</t>
        </is>
      </c>
      <c r="D38" t="n">
        <v>4</v>
      </c>
      <c r="E38" t="n">
        <v>8</v>
      </c>
      <c r="F38" t="n">
        <v>1000</v>
      </c>
      <c r="G38" t="inlineStr">
        <is>
          <t>NVMe</t>
        </is>
      </c>
      <c r="H38" t="n">
        <v>228.92</v>
      </c>
      <c r="I38" t="n">
        <v>326.62</v>
      </c>
      <c r="J38" t="n">
        <v>202.08</v>
      </c>
      <c r="K38" t="inlineStr">
        <is>
          <t>Reserved</t>
        </is>
      </c>
      <c r="L38" t="n">
        <v>12</v>
      </c>
    </row>
    <row r="39">
      <c r="A39" t="inlineStr">
        <is>
          <t>IAAS-038</t>
        </is>
      </c>
      <c r="B39" t="inlineStr">
        <is>
          <t>Compute (On-Demand)</t>
        </is>
      </c>
      <c r="C39" t="inlineStr">
        <is>
          <t>2XLarge (32/128)</t>
        </is>
      </c>
      <c r="D39" t="n">
        <v>4</v>
      </c>
      <c r="E39" t="n">
        <v>32</v>
      </c>
      <c r="F39" t="n">
        <v>1000</v>
      </c>
      <c r="G39" t="inlineStr">
        <is>
          <t>HDD</t>
        </is>
      </c>
      <c r="H39" t="n">
        <v>452.88</v>
      </c>
      <c r="I39" t="n">
        <v>166.07</v>
      </c>
      <c r="J39" t="n">
        <v>396.4</v>
      </c>
      <c r="K39" t="inlineStr">
        <is>
          <t>On-Demand</t>
        </is>
      </c>
      <c r="L39" t="n">
        <v>12</v>
      </c>
    </row>
    <row r="40">
      <c r="A40" t="inlineStr">
        <is>
          <t>IAAS-039</t>
        </is>
      </c>
      <c r="B40" t="inlineStr">
        <is>
          <t>Load Balancer</t>
        </is>
      </c>
      <c r="C40" t="inlineStr">
        <is>
          <t>Medium (4/16)</t>
        </is>
      </c>
      <c r="D40" t="n">
        <v>8</v>
      </c>
      <c r="E40" t="n">
        <v>8</v>
      </c>
      <c r="F40" t="n">
        <v>500</v>
      </c>
      <c r="G40" t="inlineStr">
        <is>
          <t>NVMe</t>
        </is>
      </c>
      <c r="H40" t="n">
        <v>128.59</v>
      </c>
      <c r="I40" t="n">
        <v>16.37</v>
      </c>
      <c r="J40" t="n">
        <v>475.64</v>
      </c>
      <c r="K40" t="inlineStr">
        <is>
          <t>On-Demand</t>
        </is>
      </c>
      <c r="L40" t="n">
        <v>12</v>
      </c>
    </row>
    <row r="41">
      <c r="A41" t="inlineStr">
        <is>
          <t>IAAS-040</t>
        </is>
      </c>
      <c r="B41" t="inlineStr">
        <is>
          <t>Compute (On-Demand)</t>
        </is>
      </c>
      <c r="C41" t="inlineStr">
        <is>
          <t>Small (2 vCPU/8 GB)</t>
        </is>
      </c>
      <c r="D41" t="n">
        <v>32</v>
      </c>
      <c r="E41" t="n">
        <v>8</v>
      </c>
      <c r="F41" t="n">
        <v>500</v>
      </c>
      <c r="G41" t="inlineStr">
        <is>
          <t>NVMe</t>
        </is>
      </c>
      <c r="H41" t="n">
        <v>291.1</v>
      </c>
      <c r="I41" t="n">
        <v>305.51</v>
      </c>
      <c r="J41" t="n">
        <v>152.93</v>
      </c>
      <c r="K41" t="inlineStr">
        <is>
          <t>On-Demand</t>
        </is>
      </c>
      <c r="L41" t="n">
        <v>36</v>
      </c>
    </row>
    <row r="42">
      <c r="A42" t="inlineStr">
        <is>
          <t>IAAS-041</t>
        </is>
      </c>
      <c r="B42" t="inlineStr">
        <is>
          <t>Compute (On-Demand)</t>
        </is>
      </c>
      <c r="C42" t="inlineStr">
        <is>
          <t>GPU (8 vCPU + T4/A10)</t>
        </is>
      </c>
      <c r="D42" t="n">
        <v>16</v>
      </c>
      <c r="E42" t="n">
        <v>64</v>
      </c>
      <c r="F42" t="n">
        <v>500</v>
      </c>
      <c r="G42" t="inlineStr">
        <is>
          <t>HDD</t>
        </is>
      </c>
      <c r="H42" t="n">
        <v>454.36</v>
      </c>
      <c r="I42" t="n">
        <v>134.16</v>
      </c>
      <c r="J42" t="n">
        <v>417.36</v>
      </c>
      <c r="K42" t="inlineStr">
        <is>
          <t>Reserved</t>
        </is>
      </c>
      <c r="L42" t="n">
        <v>0</v>
      </c>
    </row>
    <row r="43">
      <c r="A43" t="inlineStr">
        <is>
          <t>IAAS-042</t>
        </is>
      </c>
      <c r="B43" t="inlineStr">
        <is>
          <t>VPN Gateway</t>
        </is>
      </c>
      <c r="C43" t="inlineStr">
        <is>
          <t>2XLarge (32/128)</t>
        </is>
      </c>
      <c r="D43" t="n">
        <v>8</v>
      </c>
      <c r="E43" t="n">
        <v>64</v>
      </c>
      <c r="F43" t="n">
        <v>100</v>
      </c>
      <c r="G43" t="inlineStr">
        <is>
          <t>NVMe</t>
        </is>
      </c>
      <c r="H43" t="n">
        <v>82.87</v>
      </c>
      <c r="I43" t="n">
        <v>378.89</v>
      </c>
      <c r="J43" t="n">
        <v>336.39</v>
      </c>
      <c r="K43" t="inlineStr">
        <is>
          <t>Reserved</t>
        </is>
      </c>
      <c r="L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4" customWidth="1" min="3" max="3"/>
    <col width="22" customWidth="1" min="4" max="4"/>
    <col width="22" customWidth="1" min="5" max="5"/>
    <col width="22" customWidth="1" min="6" max="6"/>
    <col width="19" customWidth="1" min="7" max="7"/>
    <col width="16" customWidth="1" min="8" max="8"/>
  </cols>
  <sheetData>
    <row r="1">
      <c r="A1" s="1" t="inlineStr">
        <is>
          <t>Service_ID</t>
        </is>
      </c>
      <c r="B1" s="1" t="inlineStr">
        <is>
          <t>Service_Description</t>
        </is>
      </c>
      <c r="C1" s="1" t="inlineStr">
        <is>
          <t>Service_Tier</t>
        </is>
      </c>
      <c r="D1" s="1" t="inlineStr">
        <is>
          <t>Vendor_A_Monthly_USD</t>
        </is>
      </c>
      <c r="E1" s="1" t="inlineStr">
        <is>
          <t>Vendor_B_Monthly_USD</t>
        </is>
      </c>
      <c r="F1" s="1" t="inlineStr">
        <is>
          <t>Vendor_C_Monthly_USD</t>
        </is>
      </c>
      <c r="G1" s="1" t="inlineStr">
        <is>
          <t>SLA_Response_Time</t>
        </is>
      </c>
      <c r="H1" s="1" t="inlineStr">
        <is>
          <t>Coverage_Hours</t>
        </is>
      </c>
    </row>
    <row r="2">
      <c r="A2" t="inlineStr">
        <is>
          <t>MS-001</t>
        </is>
      </c>
      <c r="B2" t="inlineStr">
        <is>
          <t>Security Information Event Management</t>
        </is>
      </c>
      <c r="C2" t="inlineStr">
        <is>
          <t>Premium</t>
        </is>
      </c>
      <c r="D2" t="inlineStr">
        <is>
          <t>$2386</t>
        </is>
      </c>
      <c r="E2" t="inlineStr">
        <is>
          <t>$4145</t>
        </is>
      </c>
      <c r="F2" t="inlineStr">
        <is>
          <t>€3,450</t>
        </is>
      </c>
      <c r="G2" t="inlineStr">
        <is>
          <t>4 Hours</t>
        </is>
      </c>
      <c r="H2" t="inlineStr">
        <is>
          <t>24x7</t>
        </is>
      </c>
    </row>
    <row r="3">
      <c r="A3" t="inlineStr">
        <is>
          <t>MS-002</t>
        </is>
      </c>
      <c r="B3" t="inlineStr">
        <is>
          <t>Compliance Reporting Automation</t>
        </is>
      </c>
      <c r="C3" t="inlineStr">
        <is>
          <t>Premium</t>
        </is>
      </c>
      <c r="D3" t="inlineStr">
        <is>
          <t>$3838</t>
        </is>
      </c>
      <c r="E3" t="inlineStr">
        <is>
          <t>$2783</t>
        </is>
      </c>
      <c r="F3" t="inlineStr">
        <is>
          <t>€1,875</t>
        </is>
      </c>
      <c r="G3" t="inlineStr">
        <is>
          <t>4 Hours</t>
        </is>
      </c>
      <c r="H3" t="inlineStr">
        <is>
          <t>24x7</t>
        </is>
      </c>
    </row>
    <row r="4">
      <c r="A4" t="inlineStr">
        <is>
          <t>MS-003</t>
        </is>
      </c>
      <c r="B4" t="inlineStr">
        <is>
          <t>Digital Forensics Retainer</t>
        </is>
      </c>
      <c r="C4" t="inlineStr">
        <is>
          <t>Premium</t>
        </is>
      </c>
      <c r="D4" t="inlineStr">
        <is>
          <t>$4031</t>
        </is>
      </c>
      <c r="E4" t="inlineStr">
        <is>
          <t>$2188</t>
        </is>
      </c>
      <c r="F4" t="inlineStr">
        <is>
          <t>€2,200</t>
        </is>
      </c>
      <c r="G4" t="inlineStr">
        <is>
          <t>4 Hours</t>
        </is>
      </c>
      <c r="H4" t="inlineStr">
        <is>
          <t>24x7</t>
        </is>
      </c>
    </row>
    <row r="5">
      <c r="A5" t="inlineStr">
        <is>
          <t>MS-004</t>
        </is>
      </c>
      <c r="B5" t="inlineStr">
        <is>
          <t>Vulnerability Assessment Program</t>
        </is>
      </c>
      <c r="C5" t="inlineStr">
        <is>
          <t>Premium</t>
        </is>
      </c>
      <c r="D5" t="inlineStr">
        <is>
          <t>$2122</t>
        </is>
      </c>
      <c r="E5" t="inlineStr">
        <is>
          <t>$3697</t>
        </is>
      </c>
      <c r="F5" t="inlineStr">
        <is>
          <t>€950</t>
        </is>
      </c>
      <c r="G5" t="inlineStr">
        <is>
          <t>4 Hours</t>
        </is>
      </c>
      <c r="H5" t="inlineStr">
        <is>
          <t>24x7</t>
        </is>
      </c>
    </row>
    <row r="6">
      <c r="A6" t="inlineStr">
        <is>
          <t>MS-005</t>
        </is>
      </c>
      <c r="B6" t="inlineStr">
        <is>
          <t>Managed Service 5</t>
        </is>
      </c>
      <c r="C6" t="inlineStr">
        <is>
          <t>Premium</t>
        </is>
      </c>
      <c r="D6" t="inlineStr">
        <is>
          <t>$1095</t>
        </is>
      </c>
      <c r="E6" t="inlineStr">
        <is>
          <t>$4020</t>
        </is>
      </c>
      <c r="F6" t="inlineStr">
        <is>
          <t>$3097</t>
        </is>
      </c>
      <c r="G6" t="inlineStr">
        <is>
          <t>4 Hours</t>
        </is>
      </c>
      <c r="H6" t="inlineStr">
        <is>
          <t>24x7</t>
        </is>
      </c>
    </row>
    <row r="7">
      <c r="A7" t="inlineStr">
        <is>
          <t>MS-006</t>
        </is>
      </c>
      <c r="B7" t="inlineStr">
        <is>
          <t>Managed Service 6</t>
        </is>
      </c>
      <c r="C7" t="inlineStr">
        <is>
          <t>Enterprise</t>
        </is>
      </c>
      <c r="D7" t="inlineStr">
        <is>
          <t>$1389</t>
        </is>
      </c>
      <c r="E7" t="inlineStr">
        <is>
          <t>$1032</t>
        </is>
      </c>
      <c r="F7" t="inlineStr">
        <is>
          <t>$2518</t>
        </is>
      </c>
      <c r="G7" t="inlineStr">
        <is>
          <t>4 Hours</t>
        </is>
      </c>
      <c r="H7" t="inlineStr">
        <is>
          <t>24x7</t>
        </is>
      </c>
    </row>
    <row r="8">
      <c r="A8" t="inlineStr">
        <is>
          <t>MS-007</t>
        </is>
      </c>
      <c r="B8" t="inlineStr">
        <is>
          <t>Managed Service 7</t>
        </is>
      </c>
      <c r="C8" t="inlineStr">
        <is>
          <t>Standard</t>
        </is>
      </c>
      <c r="D8" t="inlineStr">
        <is>
          <t>$3689</t>
        </is>
      </c>
      <c r="E8" t="inlineStr">
        <is>
          <t>$3412</t>
        </is>
      </c>
      <c r="F8" t="inlineStr">
        <is>
          <t>$2179</t>
        </is>
      </c>
      <c r="G8" t="inlineStr">
        <is>
          <t>4 Hours</t>
        </is>
      </c>
      <c r="H8" t="inlineStr">
        <is>
          <t>24x7</t>
        </is>
      </c>
    </row>
    <row r="9">
      <c r="A9" t="inlineStr">
        <is>
          <t>MS-008</t>
        </is>
      </c>
      <c r="B9" t="inlineStr">
        <is>
          <t>Managed Service 8</t>
        </is>
      </c>
      <c r="C9" t="inlineStr">
        <is>
          <t>Standard</t>
        </is>
      </c>
      <c r="D9" t="inlineStr">
        <is>
          <t>$4025</t>
        </is>
      </c>
      <c r="E9" t="inlineStr">
        <is>
          <t>$1964</t>
        </is>
      </c>
      <c r="F9" t="inlineStr">
        <is>
          <t>$1230</t>
        </is>
      </c>
      <c r="G9" t="inlineStr">
        <is>
          <t>4 Hours</t>
        </is>
      </c>
      <c r="H9" t="inlineStr">
        <is>
          <t>24x7</t>
        </is>
      </c>
    </row>
    <row r="10">
      <c r="A10" t="inlineStr">
        <is>
          <t>MS-009</t>
        </is>
      </c>
      <c r="B10" t="inlineStr">
        <is>
          <t>Managed Service 9</t>
        </is>
      </c>
      <c r="C10" t="inlineStr">
        <is>
          <t>Premium</t>
        </is>
      </c>
      <c r="D10" t="inlineStr">
        <is>
          <t>$4788</t>
        </is>
      </c>
      <c r="E10" t="inlineStr">
        <is>
          <t>$3950</t>
        </is>
      </c>
      <c r="F10" t="inlineStr">
        <is>
          <t>$1457</t>
        </is>
      </c>
      <c r="G10" t="inlineStr">
        <is>
          <t>4 Hours</t>
        </is>
      </c>
      <c r="H10" t="inlineStr">
        <is>
          <t>24x7</t>
        </is>
      </c>
    </row>
    <row r="11">
      <c r="A11" t="inlineStr">
        <is>
          <t>MS-010</t>
        </is>
      </c>
      <c r="B11" t="inlineStr">
        <is>
          <t>Managed Service 10</t>
        </is>
      </c>
      <c r="C11" t="inlineStr">
        <is>
          <t>Enterprise</t>
        </is>
      </c>
      <c r="D11" t="inlineStr">
        <is>
          <t>$3854</t>
        </is>
      </c>
      <c r="E11" t="inlineStr">
        <is>
          <t>$1132</t>
        </is>
      </c>
      <c r="F11" t="inlineStr">
        <is>
          <t>$4454</t>
        </is>
      </c>
      <c r="G11" t="inlineStr">
        <is>
          <t>4 Hours</t>
        </is>
      </c>
      <c r="H11" t="inlineStr">
        <is>
          <t>24x7</t>
        </is>
      </c>
    </row>
    <row r="12">
      <c r="A12" t="inlineStr">
        <is>
          <t>MS-011</t>
        </is>
      </c>
      <c r="B12" t="inlineStr">
        <is>
          <t>Managed Service 11</t>
        </is>
      </c>
      <c r="C12" t="inlineStr">
        <is>
          <t>Premium</t>
        </is>
      </c>
      <c r="D12" t="inlineStr">
        <is>
          <t>$4685</t>
        </is>
      </c>
      <c r="E12" t="inlineStr">
        <is>
          <t>$1725</t>
        </is>
      </c>
      <c r="F12" t="inlineStr">
        <is>
          <t>$2897</t>
        </is>
      </c>
      <c r="G12" t="inlineStr">
        <is>
          <t>4 Hours</t>
        </is>
      </c>
      <c r="H12" t="inlineStr">
        <is>
          <t>24x7</t>
        </is>
      </c>
    </row>
    <row r="13">
      <c r="A13" t="inlineStr">
        <is>
          <t>MS-012</t>
        </is>
      </c>
      <c r="B13" t="inlineStr">
        <is>
          <t>Managed Service 12</t>
        </is>
      </c>
      <c r="C13" t="inlineStr">
        <is>
          <t>Standard</t>
        </is>
      </c>
      <c r="D13" t="inlineStr">
        <is>
          <t>$3219</t>
        </is>
      </c>
      <c r="E13" t="inlineStr">
        <is>
          <t>$3930</t>
        </is>
      </c>
      <c r="F13" t="inlineStr">
        <is>
          <t>$2702</t>
        </is>
      </c>
      <c r="G13" t="inlineStr">
        <is>
          <t>4 Hours</t>
        </is>
      </c>
      <c r="H13" t="inlineStr">
        <is>
          <t>24x7</t>
        </is>
      </c>
    </row>
    <row r="14">
      <c r="A14" t="inlineStr">
        <is>
          <t>MS-013</t>
        </is>
      </c>
      <c r="B14" t="inlineStr">
        <is>
          <t>Managed Service 13</t>
        </is>
      </c>
      <c r="C14" t="inlineStr">
        <is>
          <t>Enterprise</t>
        </is>
      </c>
      <c r="D14" t="inlineStr">
        <is>
          <t>$1093</t>
        </is>
      </c>
      <c r="E14" t="inlineStr">
        <is>
          <t>$4972</t>
        </is>
      </c>
      <c r="F14" t="inlineStr">
        <is>
          <t>$1968</t>
        </is>
      </c>
      <c r="G14" t="inlineStr">
        <is>
          <t>4 Hours</t>
        </is>
      </c>
      <c r="H14" t="inlineStr">
        <is>
          <t>24x7</t>
        </is>
      </c>
    </row>
    <row r="15">
      <c r="A15" t="inlineStr">
        <is>
          <t>MS-014</t>
        </is>
      </c>
      <c r="B15" t="inlineStr">
        <is>
          <t>Managed Service 14</t>
        </is>
      </c>
      <c r="C15" t="inlineStr">
        <is>
          <t>Premium</t>
        </is>
      </c>
      <c r="D15" t="inlineStr">
        <is>
          <t>$4459</t>
        </is>
      </c>
      <c r="E15" t="inlineStr">
        <is>
          <t>$1484</t>
        </is>
      </c>
      <c r="F15" t="inlineStr">
        <is>
          <t>$696</t>
        </is>
      </c>
      <c r="G15" t="inlineStr">
        <is>
          <t>4 Hours</t>
        </is>
      </c>
      <c r="H15" t="inlineStr">
        <is>
          <t>24x7</t>
        </is>
      </c>
    </row>
    <row r="16">
      <c r="A16" t="inlineStr">
        <is>
          <t>MS-015</t>
        </is>
      </c>
      <c r="B16" t="inlineStr">
        <is>
          <t>Managed Service 15</t>
        </is>
      </c>
      <c r="C16" t="inlineStr">
        <is>
          <t>Premium</t>
        </is>
      </c>
      <c r="D16" t="inlineStr">
        <is>
          <t>$1124</t>
        </is>
      </c>
      <c r="E16" t="inlineStr">
        <is>
          <t>$3031</t>
        </is>
      </c>
      <c r="F16" t="inlineStr">
        <is>
          <t>$4099</t>
        </is>
      </c>
      <c r="G16" t="inlineStr">
        <is>
          <t>4 Hours</t>
        </is>
      </c>
      <c r="H16" t="inlineStr">
        <is>
          <t>24x7</t>
        </is>
      </c>
    </row>
    <row r="17">
      <c r="A17" t="inlineStr">
        <is>
          <t>MS-016</t>
        </is>
      </c>
      <c r="B17" t="inlineStr">
        <is>
          <t>Managed Service 16</t>
        </is>
      </c>
      <c r="C17" t="inlineStr">
        <is>
          <t>Standard</t>
        </is>
      </c>
      <c r="D17" t="inlineStr">
        <is>
          <t>$548</t>
        </is>
      </c>
      <c r="E17" t="inlineStr">
        <is>
          <t>$1746</t>
        </is>
      </c>
      <c r="F17" t="inlineStr">
        <is>
          <t>$2124</t>
        </is>
      </c>
      <c r="G17" t="inlineStr">
        <is>
          <t>4 Hours</t>
        </is>
      </c>
      <c r="H17" t="inlineStr">
        <is>
          <t>24x7</t>
        </is>
      </c>
    </row>
    <row r="18">
      <c r="A18" t="inlineStr">
        <is>
          <t>MS-017</t>
        </is>
      </c>
      <c r="B18" t="inlineStr">
        <is>
          <t>Managed Service 17</t>
        </is>
      </c>
      <c r="C18" t="inlineStr">
        <is>
          <t>Premium</t>
        </is>
      </c>
      <c r="D18" t="inlineStr">
        <is>
          <t>$3742</t>
        </is>
      </c>
      <c r="E18" t="inlineStr">
        <is>
          <t>$3962</t>
        </is>
      </c>
      <c r="F18" t="inlineStr">
        <is>
          <t>$1753</t>
        </is>
      </c>
      <c r="G18" t="inlineStr">
        <is>
          <t>4 Hours</t>
        </is>
      </c>
      <c r="H18" t="inlineStr">
        <is>
          <t>24x7</t>
        </is>
      </c>
    </row>
    <row r="19">
      <c r="A19" t="inlineStr">
        <is>
          <t>MS-018</t>
        </is>
      </c>
      <c r="B19" t="inlineStr">
        <is>
          <t>Managed Service 18</t>
        </is>
      </c>
      <c r="C19" t="inlineStr">
        <is>
          <t>Standard</t>
        </is>
      </c>
      <c r="D19" t="inlineStr">
        <is>
          <t>$4407</t>
        </is>
      </c>
      <c r="E19" t="inlineStr">
        <is>
          <t>$1291</t>
        </is>
      </c>
      <c r="F19" t="inlineStr">
        <is>
          <t>$4854</t>
        </is>
      </c>
      <c r="G19" t="inlineStr">
        <is>
          <t>4 Hours</t>
        </is>
      </c>
      <c r="H19" t="inlineStr">
        <is>
          <t>24x7</t>
        </is>
      </c>
    </row>
    <row r="20">
      <c r="A20" t="inlineStr">
        <is>
          <t>MS-019</t>
        </is>
      </c>
      <c r="B20" t="inlineStr">
        <is>
          <t>Managed Service 19</t>
        </is>
      </c>
      <c r="C20" t="inlineStr">
        <is>
          <t>Enterprise</t>
        </is>
      </c>
      <c r="D20" t="inlineStr">
        <is>
          <t>$4552</t>
        </is>
      </c>
      <c r="E20" t="inlineStr">
        <is>
          <t>$2480</t>
        </is>
      </c>
      <c r="F20" t="inlineStr">
        <is>
          <t>$1784</t>
        </is>
      </c>
      <c r="G20" t="inlineStr">
        <is>
          <t>4 Hours</t>
        </is>
      </c>
      <c r="H20" t="inlineStr">
        <is>
          <t>24x7</t>
        </is>
      </c>
    </row>
    <row r="21">
      <c r="A21" t="inlineStr">
        <is>
          <t>MS-020</t>
        </is>
      </c>
      <c r="B21" t="inlineStr">
        <is>
          <t>Managed Service 20</t>
        </is>
      </c>
      <c r="C21" t="inlineStr">
        <is>
          <t>Enterprise</t>
        </is>
      </c>
      <c r="D21" t="inlineStr">
        <is>
          <t>$4131</t>
        </is>
      </c>
      <c r="E21" t="inlineStr">
        <is>
          <t>$1723</t>
        </is>
      </c>
      <c r="F21" t="inlineStr">
        <is>
          <t>$1774</t>
        </is>
      </c>
      <c r="G21" t="inlineStr">
        <is>
          <t>4 Hours</t>
        </is>
      </c>
      <c r="H21" t="inlineStr">
        <is>
          <t>24x7</t>
        </is>
      </c>
    </row>
    <row r="22">
      <c r="A22" t="inlineStr">
        <is>
          <t>MS-021</t>
        </is>
      </c>
      <c r="B22" t="inlineStr">
        <is>
          <t>Managed Service 21</t>
        </is>
      </c>
      <c r="C22" t="inlineStr">
        <is>
          <t>Enterprise</t>
        </is>
      </c>
      <c r="D22" t="inlineStr">
        <is>
          <t>$2040</t>
        </is>
      </c>
      <c r="E22" t="inlineStr">
        <is>
          <t>$4088</t>
        </is>
      </c>
      <c r="F22" t="inlineStr">
        <is>
          <t>$4882</t>
        </is>
      </c>
      <c r="G22" t="inlineStr">
        <is>
          <t>4 Hours</t>
        </is>
      </c>
      <c r="H22" t="inlineStr">
        <is>
          <t>24x7</t>
        </is>
      </c>
    </row>
    <row r="23">
      <c r="A23" t="inlineStr">
        <is>
          <t>MS-022</t>
        </is>
      </c>
      <c r="B23" t="inlineStr">
        <is>
          <t>Managed Service 22</t>
        </is>
      </c>
      <c r="C23" t="inlineStr">
        <is>
          <t>Standard</t>
        </is>
      </c>
      <c r="D23" t="inlineStr">
        <is>
          <t>$4051</t>
        </is>
      </c>
      <c r="E23" t="inlineStr">
        <is>
          <t>$3789</t>
        </is>
      </c>
      <c r="F23" t="inlineStr">
        <is>
          <t>$1686</t>
        </is>
      </c>
      <c r="G23" t="inlineStr">
        <is>
          <t>4 Hours</t>
        </is>
      </c>
      <c r="H23" t="inlineStr">
        <is>
          <t>24x7</t>
        </is>
      </c>
    </row>
    <row r="24">
      <c r="A24" t="inlineStr">
        <is>
          <t>MS-023</t>
        </is>
      </c>
      <c r="B24" t="inlineStr">
        <is>
          <t>Managed Service 23</t>
        </is>
      </c>
      <c r="C24" t="inlineStr">
        <is>
          <t>Premium</t>
        </is>
      </c>
      <c r="D24" t="inlineStr">
        <is>
          <t>$2730</t>
        </is>
      </c>
      <c r="E24" t="inlineStr">
        <is>
          <t>$4122</t>
        </is>
      </c>
      <c r="F24" t="inlineStr">
        <is>
          <t>$2927</t>
        </is>
      </c>
      <c r="G24" t="inlineStr">
        <is>
          <t>4 Hours</t>
        </is>
      </c>
      <c r="H24" t="inlineStr">
        <is>
          <t>24x7</t>
        </is>
      </c>
    </row>
    <row r="25">
      <c r="A25" t="inlineStr">
        <is>
          <t>MS-024</t>
        </is>
      </c>
      <c r="B25" t="inlineStr">
        <is>
          <t>Managed Service 24</t>
        </is>
      </c>
      <c r="C25" t="inlineStr">
        <is>
          <t>Premium</t>
        </is>
      </c>
      <c r="D25" t="inlineStr">
        <is>
          <t>$3014</t>
        </is>
      </c>
      <c r="E25" t="inlineStr">
        <is>
          <t>$2138</t>
        </is>
      </c>
      <c r="F25" t="inlineStr">
        <is>
          <t>$3522</t>
        </is>
      </c>
      <c r="G25" t="inlineStr">
        <is>
          <t>4 Hours</t>
        </is>
      </c>
      <c r="H25" t="inlineStr">
        <is>
          <t>24x7</t>
        </is>
      </c>
    </row>
    <row r="26">
      <c r="A26" t="inlineStr">
        <is>
          <t>MS-025</t>
        </is>
      </c>
      <c r="B26" t="inlineStr">
        <is>
          <t>Managed Service 25</t>
        </is>
      </c>
      <c r="C26" t="inlineStr">
        <is>
          <t>Premium</t>
        </is>
      </c>
      <c r="D26" t="inlineStr">
        <is>
          <t>$4254</t>
        </is>
      </c>
      <c r="E26" t="inlineStr">
        <is>
          <t>$3403</t>
        </is>
      </c>
      <c r="F26" t="inlineStr">
        <is>
          <t>$1688</t>
        </is>
      </c>
      <c r="G26" t="inlineStr">
        <is>
          <t>4 Hours</t>
        </is>
      </c>
      <c r="H26" t="inlineStr">
        <is>
          <t>24x7</t>
        </is>
      </c>
    </row>
    <row r="27">
      <c r="A27" t="inlineStr">
        <is>
          <t>MS-026</t>
        </is>
      </c>
      <c r="B27" t="inlineStr">
        <is>
          <t>Managed Service 26</t>
        </is>
      </c>
      <c r="C27" t="inlineStr">
        <is>
          <t>Premium</t>
        </is>
      </c>
      <c r="D27" t="inlineStr">
        <is>
          <t>$4585</t>
        </is>
      </c>
      <c r="E27" t="inlineStr">
        <is>
          <t>$2349</t>
        </is>
      </c>
      <c r="F27" t="inlineStr">
        <is>
          <t>$803</t>
        </is>
      </c>
      <c r="G27" t="inlineStr">
        <is>
          <t>4 Hours</t>
        </is>
      </c>
      <c r="H27" t="inlineStr">
        <is>
          <t>24x7</t>
        </is>
      </c>
    </row>
    <row r="28">
      <c r="A28" t="inlineStr">
        <is>
          <t>MS-027</t>
        </is>
      </c>
      <c r="B28" t="inlineStr">
        <is>
          <t>Managed Service 27</t>
        </is>
      </c>
      <c r="C28" t="inlineStr">
        <is>
          <t>Enterprise</t>
        </is>
      </c>
      <c r="D28" t="inlineStr">
        <is>
          <t>$4445</t>
        </is>
      </c>
      <c r="E28" t="inlineStr">
        <is>
          <t>$2816</t>
        </is>
      </c>
      <c r="F28" t="inlineStr">
        <is>
          <t>$1297</t>
        </is>
      </c>
      <c r="G28" t="inlineStr">
        <is>
          <t>4 Hours</t>
        </is>
      </c>
      <c r="H28" t="inlineStr">
        <is>
          <t>24x7</t>
        </is>
      </c>
    </row>
    <row r="29">
      <c r="A29" t="inlineStr">
        <is>
          <t>MS-028</t>
        </is>
      </c>
      <c r="B29" t="inlineStr">
        <is>
          <t>Managed Service 28</t>
        </is>
      </c>
      <c r="C29" t="inlineStr">
        <is>
          <t>Enterprise</t>
        </is>
      </c>
      <c r="D29" t="inlineStr">
        <is>
          <t>$1808</t>
        </is>
      </c>
      <c r="E29" t="inlineStr">
        <is>
          <t>$4639</t>
        </is>
      </c>
      <c r="F29" t="inlineStr">
        <is>
          <t>$1633</t>
        </is>
      </c>
      <c r="G29" t="inlineStr">
        <is>
          <t>4 Hours</t>
        </is>
      </c>
      <c r="H29" t="inlineStr">
        <is>
          <t>24x7</t>
        </is>
      </c>
    </row>
    <row r="30">
      <c r="A30" t="inlineStr">
        <is>
          <t>MS-029</t>
        </is>
      </c>
      <c r="B30" t="inlineStr">
        <is>
          <t>Managed Service 29</t>
        </is>
      </c>
      <c r="C30" t="inlineStr">
        <is>
          <t>Premium</t>
        </is>
      </c>
      <c r="D30" t="inlineStr">
        <is>
          <t>$2827</t>
        </is>
      </c>
      <c r="E30" t="inlineStr">
        <is>
          <t>$2641</t>
        </is>
      </c>
      <c r="F30" t="inlineStr">
        <is>
          <t>$2937</t>
        </is>
      </c>
      <c r="G30" t="inlineStr">
        <is>
          <t>4 Hours</t>
        </is>
      </c>
      <c r="H30" t="inlineStr">
        <is>
          <t>24x7</t>
        </is>
      </c>
    </row>
    <row r="31">
      <c r="A31" t="inlineStr">
        <is>
          <t>MS-030</t>
        </is>
      </c>
      <c r="B31" t="inlineStr">
        <is>
          <t>Managed Service 30</t>
        </is>
      </c>
      <c r="C31" t="inlineStr">
        <is>
          <t>Enterprise</t>
        </is>
      </c>
      <c r="D31" t="inlineStr">
        <is>
          <t>$4431</t>
        </is>
      </c>
      <c r="E31" t="inlineStr">
        <is>
          <t>$1239</t>
        </is>
      </c>
      <c r="F31" t="inlineStr">
        <is>
          <t>$2324</t>
        </is>
      </c>
      <c r="G31" t="inlineStr">
        <is>
          <t>4 Hours</t>
        </is>
      </c>
      <c r="H31" t="inlineStr">
        <is>
          <t>24x7</t>
        </is>
      </c>
    </row>
    <row r="32">
      <c r="A32" t="inlineStr">
        <is>
          <t>MS-031</t>
        </is>
      </c>
      <c r="B32" t="inlineStr">
        <is>
          <t>Managed Service 31</t>
        </is>
      </c>
      <c r="C32" t="inlineStr">
        <is>
          <t>Standard</t>
        </is>
      </c>
      <c r="D32" t="inlineStr">
        <is>
          <t>$2648</t>
        </is>
      </c>
      <c r="E32" t="inlineStr">
        <is>
          <t>$2277</t>
        </is>
      </c>
      <c r="F32" t="inlineStr">
        <is>
          <t>$3036</t>
        </is>
      </c>
      <c r="G32" t="inlineStr">
        <is>
          <t>4 Hours</t>
        </is>
      </c>
      <c r="H32" t="inlineStr">
        <is>
          <t>24x7</t>
        </is>
      </c>
    </row>
    <row r="33">
      <c r="A33" t="inlineStr">
        <is>
          <t>MS-032</t>
        </is>
      </c>
      <c r="B33" t="inlineStr">
        <is>
          <t>Managed Service 32</t>
        </is>
      </c>
      <c r="C33" t="inlineStr">
        <is>
          <t>Enterprise</t>
        </is>
      </c>
      <c r="D33" t="inlineStr">
        <is>
          <t>$2023</t>
        </is>
      </c>
      <c r="E33" t="inlineStr">
        <is>
          <t>$2447</t>
        </is>
      </c>
      <c r="F33" t="inlineStr">
        <is>
          <t>$3794</t>
        </is>
      </c>
      <c r="G33" t="inlineStr">
        <is>
          <t>4 Hours</t>
        </is>
      </c>
      <c r="H33" t="inlineStr">
        <is>
          <t>24x7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O4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5" customWidth="1" min="15" max="15"/>
  </cols>
  <sheetData>
    <row r="1">
      <c r="A1" s="2" t="inlineStr">
        <is>
          <t>Category</t>
        </is>
      </c>
      <c r="B1" s="2" t="inlineStr">
        <is>
          <t>Line_Item</t>
        </is>
      </c>
      <c r="C1" s="2" t="inlineStr">
        <is>
          <t>Vendor_A_Year1</t>
        </is>
      </c>
      <c r="D1" s="2" t="inlineStr">
        <is>
          <t>Vendor_A_Year2</t>
        </is>
      </c>
      <c r="E1" s="2" t="inlineStr">
        <is>
          <t>Vendor_A_Year3</t>
        </is>
      </c>
      <c r="F1" s="2" t="inlineStr">
        <is>
          <t>Vendor_A_Total</t>
        </is>
      </c>
      <c r="G1" s="2" t="inlineStr">
        <is>
          <t>Vendor_B_Year1</t>
        </is>
      </c>
      <c r="H1" s="2" t="inlineStr">
        <is>
          <t>Vendor_B_Year2</t>
        </is>
      </c>
      <c r="I1" s="2" t="inlineStr">
        <is>
          <t>Vendor_B_Year3</t>
        </is>
      </c>
      <c r="J1" s="2" t="inlineStr">
        <is>
          <t>Vendor_B_Total</t>
        </is>
      </c>
      <c r="K1" s="2" t="inlineStr">
        <is>
          <t>Vendor_C_Year1</t>
        </is>
      </c>
      <c r="L1" s="2" t="inlineStr">
        <is>
          <t>Vendor_C_Year2</t>
        </is>
      </c>
      <c r="M1" s="2" t="inlineStr">
        <is>
          <t>Vendor_C_Year3</t>
        </is>
      </c>
      <c r="N1" s="2" t="inlineStr">
        <is>
          <t>Vendor_C_Total</t>
        </is>
      </c>
      <c r="O1" s="2" t="inlineStr">
        <is>
          <t>Assumptions</t>
        </is>
      </c>
    </row>
    <row r="2">
      <c r="A2" s="3" t="inlineStr">
        <is>
          <t>Colocation</t>
        </is>
      </c>
      <c r="B2" s="3" t="inlineStr">
        <is>
          <t>Rack Fees (per U)</t>
        </is>
      </c>
      <c r="C2" s="4" t="n">
        <v>66600</v>
      </c>
      <c r="D2" s="4" t="n">
        <v>69930</v>
      </c>
      <c r="E2" s="4" t="n">
        <v>73427</v>
      </c>
      <c r="F2" s="5">
        <f>SUM(C2:E2)</f>
        <v/>
      </c>
      <c r="G2" s="4" t="n">
        <v>64200</v>
      </c>
      <c r="H2" s="4" t="n">
        <v>67410</v>
      </c>
      <c r="I2" s="4" t="n">
        <v>70781</v>
      </c>
      <c r="J2" s="5">
        <f>SUM(G2:I2)</f>
        <v/>
      </c>
      <c r="K2" s="4" t="n">
        <v>71400</v>
      </c>
      <c r="L2" s="4" t="n">
        <v>74970</v>
      </c>
      <c r="M2" s="4" t="n">
        <v>78719</v>
      </c>
      <c r="N2" s="5">
        <f>SUM(K2:M2)</f>
        <v/>
      </c>
      <c r="O2" s="6" t="inlineStr">
        <is>
          <t>Based on negotiated rates per RFP response</t>
        </is>
      </c>
    </row>
    <row r="3">
      <c r="A3" s="3" t="inlineStr">
        <is>
          <t>Colocation</t>
        </is>
      </c>
      <c r="B3" s="3" t="inlineStr">
        <is>
          <t>Power &amp; Cooling (metered)</t>
        </is>
      </c>
      <c r="C3" s="4" t="n">
        <v>182400</v>
      </c>
      <c r="D3" s="4" t="n">
        <v>191520</v>
      </c>
      <c r="E3" s="4" t="n">
        <v>201096</v>
      </c>
      <c r="F3" s="5">
        <f>SUM(C3:E3)</f>
        <v/>
      </c>
      <c r="G3" s="4" t="n">
        <v>175200</v>
      </c>
      <c r="H3" s="4" t="n">
        <v>183960</v>
      </c>
      <c r="I3" s="4" t="n">
        <v>193158</v>
      </c>
      <c r="J3" s="5">
        <f>SUM(G3:I3)</f>
        <v/>
      </c>
      <c r="K3" s="4" t="n">
        <v>189600</v>
      </c>
      <c r="L3" s="4" t="n">
        <v>199080</v>
      </c>
      <c r="M3" s="4" t="n">
        <v>208634</v>
      </c>
      <c r="N3" s="5">
        <f>SUM(K3:M3)</f>
        <v/>
      </c>
      <c r="O3" s="6" t="inlineStr">
        <is>
          <t>$0.08/kWh (national industrial average)</t>
        </is>
      </c>
    </row>
    <row r="4">
      <c r="A4" s="3" t="inlineStr">
        <is>
          <t>Colocation</t>
        </is>
      </c>
      <c r="B4" s="3" t="inlineStr">
        <is>
          <t>Cross-Connects (per circuit)</t>
        </is>
      </c>
      <c r="C4" s="4" t="n">
        <v>14400</v>
      </c>
      <c r="D4" s="4" t="n">
        <v>14400</v>
      </c>
      <c r="E4" s="4" t="n">
        <v>15120</v>
      </c>
      <c r="F4" s="5">
        <f>SUM(C4:E4)</f>
        <v/>
      </c>
      <c r="G4" s="4" t="n">
        <v>12000</v>
      </c>
      <c r="H4" s="4" t="n">
        <v>12600</v>
      </c>
      <c r="I4" s="4" t="n">
        <v>13230</v>
      </c>
      <c r="J4" s="5">
        <f>SUM(G4:I4)</f>
        <v/>
      </c>
      <c r="K4" s="4" t="n">
        <v>16800</v>
      </c>
      <c r="L4" s="4" t="n">
        <v>17640</v>
      </c>
      <c r="M4" s="4" t="n">
        <v>18522</v>
      </c>
      <c r="N4" s="5">
        <f>SUM(K4:M4)</f>
        <v/>
      </c>
      <c r="O4" s="6" t="inlineStr">
        <is>
          <t>Includes fiber and copper cross-connects</t>
        </is>
      </c>
    </row>
    <row r="5">
      <c r="A5" s="3" t="inlineStr">
        <is>
          <t>Colocation</t>
        </is>
      </c>
      <c r="B5" s="3" t="inlineStr">
        <is>
          <t>Remote Hands (hourly)</t>
        </is>
      </c>
      <c r="C5" s="4" t="n">
        <v>8760</v>
      </c>
      <c r="D5" s="4" t="n">
        <v>7884</v>
      </c>
      <c r="E5" s="4" t="n">
        <v>6308</v>
      </c>
      <c r="F5" s="5">
        <f>SUM(C5:E5)</f>
        <v/>
      </c>
      <c r="G5" s="4" t="n">
        <v>10950</v>
      </c>
      <c r="H5" s="4" t="n">
        <v>9855</v>
      </c>
      <c r="I5" s="4" t="n">
        <v>7884</v>
      </c>
      <c r="J5" s="5">
        <f>SUM(G5:I5)</f>
        <v/>
      </c>
      <c r="K5" s="4" t="n">
        <v>7300</v>
      </c>
      <c r="L5" s="4" t="n">
        <v>6570</v>
      </c>
      <c r="M5" s="4" t="n">
        <v>5256</v>
      </c>
      <c r="N5" s="5">
        <f>SUM(K5:M5)</f>
        <v/>
      </c>
      <c r="O5" s="6" t="inlineStr">
        <is>
          <t>Declining usage as team ramps up</t>
        </is>
      </c>
    </row>
    <row r="6">
      <c r="A6" s="3" t="inlineStr">
        <is>
          <t>Colocation</t>
        </is>
      </c>
      <c r="B6" s="3" t="inlineStr">
        <is>
          <t>Cage/Suite Build-Out</t>
        </is>
      </c>
      <c r="C6" s="4" t="n">
        <v>185000</v>
      </c>
      <c r="D6" s="4" t="n">
        <v>0</v>
      </c>
      <c r="E6" s="4" t="n">
        <v>0</v>
      </c>
      <c r="F6" s="5">
        <f>SUM(C6:E6)</f>
        <v/>
      </c>
      <c r="G6" s="4" t="n">
        <v>142000</v>
      </c>
      <c r="H6" s="4" t="n">
        <v>0</v>
      </c>
      <c r="I6" s="4" t="n">
        <v>0</v>
      </c>
      <c r="J6" s="5">
        <f>SUM(G6:I6)</f>
        <v/>
      </c>
      <c r="K6" s="4" t="n">
        <v>210000</v>
      </c>
      <c r="L6" s="4" t="n">
        <v>0</v>
      </c>
      <c r="M6" s="4" t="n">
        <v>0</v>
      </c>
      <c r="N6" s="5">
        <f>SUM(K6:M6)</f>
        <v/>
      </c>
      <c r="O6" s="6" t="inlineStr">
        <is>
          <t>One-time setup cost Year 1</t>
        </is>
      </c>
    </row>
    <row r="7">
      <c r="A7" s="3" t="inlineStr">
        <is>
          <t>Colocation</t>
        </is>
      </c>
      <c r="B7" s="3" t="inlineStr">
        <is>
          <t>Facility Insurance</t>
        </is>
      </c>
      <c r="C7" s="4" t="n">
        <v>24000</v>
      </c>
      <c r="D7" s="4" t="n">
        <v>25200</v>
      </c>
      <c r="E7" s="4" t="n">
        <v>26460</v>
      </c>
      <c r="F7" s="5">
        <f>SUM(C7:E7)</f>
        <v/>
      </c>
      <c r="G7" s="4" t="n">
        <v>22000</v>
      </c>
      <c r="H7" s="4" t="n">
        <v>23100</v>
      </c>
      <c r="I7" s="4" t="n">
        <v>24255</v>
      </c>
      <c r="J7" s="5">
        <f>SUM(G7:I7)</f>
        <v/>
      </c>
      <c r="K7" s="4" t="n">
        <v>28000</v>
      </c>
      <c r="L7" s="4" t="n">
        <v>29400</v>
      </c>
      <c r="M7" s="4" t="n">
        <v>30870</v>
      </c>
      <c r="N7" s="5">
        <f>SUM(K7:M7)</f>
        <v/>
      </c>
      <c r="O7" s="6" t="inlineStr">
        <is>
          <t>Property and equipment coverage</t>
        </is>
      </c>
    </row>
    <row r="8">
      <c r="A8" s="3" t="inlineStr">
        <is>
          <t>Cloud IaaS</t>
        </is>
      </c>
      <c r="B8" s="3" t="inlineStr">
        <is>
          <t>Compute Instances (reserved)</t>
        </is>
      </c>
      <c r="C8" s="4" t="n">
        <v>124800</v>
      </c>
      <c r="D8" s="4" t="n">
        <v>131040</v>
      </c>
      <c r="E8" s="4" t="n">
        <v>137592</v>
      </c>
      <c r="F8" s="5">
        <f>SUM(C8:E8)</f>
        <v/>
      </c>
      <c r="G8" s="4" t="n">
        <v>118560</v>
      </c>
      <c r="H8" s="4" t="n">
        <v>124488</v>
      </c>
      <c r="I8" s="4" t="n">
        <v>130712</v>
      </c>
      <c r="J8" s="5">
        <f>SUM(G8:I8)</f>
        <v/>
      </c>
      <c r="K8" s="4" t="n">
        <v>136800</v>
      </c>
      <c r="L8" s="4" t="n">
        <v>143640</v>
      </c>
      <c r="M8" s="4" t="n">
        <v>150822</v>
      </c>
      <c r="N8" s="5">
        <f>SUM(K8:M8)</f>
        <v/>
      </c>
      <c r="O8" s="6" t="inlineStr">
        <is>
          <t>3-year reserved instance pricing</t>
        </is>
      </c>
    </row>
    <row r="9">
      <c r="A9" s="3" t="inlineStr">
        <is>
          <t>Cloud IaaS</t>
        </is>
      </c>
      <c r="B9" s="3" t="inlineStr">
        <is>
          <t>Block Storage (per TB/mo)</t>
        </is>
      </c>
      <c r="C9" s="4" t="n">
        <v>43200</v>
      </c>
      <c r="D9" s="4" t="n">
        <v>49680</v>
      </c>
      <c r="E9" s="4" t="n">
        <v>57132</v>
      </c>
      <c r="F9" s="5">
        <f>SUM(C9:E9)</f>
        <v/>
      </c>
      <c r="G9" s="4" t="n">
        <v>41400</v>
      </c>
      <c r="H9" s="4" t="n">
        <v>47610</v>
      </c>
      <c r="I9" s="4" t="n">
        <v>54752</v>
      </c>
      <c r="J9" s="5">
        <f>SUM(G9:I9)</f>
        <v/>
      </c>
      <c r="K9" s="4" t="n">
        <v>46800</v>
      </c>
      <c r="L9" s="4" t="n">
        <v>53820</v>
      </c>
      <c r="M9" s="4" t="n">
        <v>61893</v>
      </c>
      <c r="N9" s="5">
        <f>SUM(K9:M9)</f>
        <v/>
      </c>
      <c r="O9" s="6" t="inlineStr">
        <is>
          <t>15% annual growth rate</t>
        </is>
      </c>
    </row>
    <row r="10">
      <c r="A10" s="3" t="inlineStr">
        <is>
          <t>Cloud IaaS</t>
        </is>
      </c>
      <c r="B10" s="3" t="inlineStr">
        <is>
          <t>Object Storage</t>
        </is>
      </c>
      <c r="C10" s="4" t="n">
        <v>7200</v>
      </c>
      <c r="D10" s="4" t="n">
        <v>8280</v>
      </c>
      <c r="E10" s="4" t="n">
        <v>9522</v>
      </c>
      <c r="F10" s="5">
        <f>SUM(C10:E10)</f>
        <v/>
      </c>
      <c r="G10" s="4" t="n">
        <v>6600</v>
      </c>
      <c r="H10" s="4" t="n">
        <v>7590</v>
      </c>
      <c r="I10" s="4" t="n">
        <v>8729</v>
      </c>
      <c r="J10" s="5">
        <f>SUM(G10:I10)</f>
        <v/>
      </c>
      <c r="K10" s="4" t="n">
        <v>7800</v>
      </c>
      <c r="L10" s="4" t="n">
        <v>8970</v>
      </c>
      <c r="M10" s="4" t="n">
        <v>10316</v>
      </c>
      <c r="N10" s="5">
        <f>SUM(K10:M10)</f>
        <v/>
      </c>
      <c r="O10" s="6" t="inlineStr">
        <is>
          <t>Archival and backup tiers</t>
        </is>
      </c>
    </row>
    <row r="11">
      <c r="A11" s="3" t="inlineStr">
        <is>
          <t>Cloud IaaS</t>
        </is>
      </c>
      <c r="B11" s="3" t="inlineStr">
        <is>
          <t>Network Egress</t>
        </is>
      </c>
      <c r="C11" s="4" t="n">
        <v>36000</v>
      </c>
      <c r="D11" s="4" t="n">
        <v>41400</v>
      </c>
      <c r="E11" s="4" t="n">
        <v>47610</v>
      </c>
      <c r="F11" s="5">
        <f>SUM(C11:E11)</f>
        <v/>
      </c>
      <c r="G11" s="4" t="n">
        <v>32400</v>
      </c>
      <c r="H11" s="4" t="n">
        <v>37260</v>
      </c>
      <c r="I11" s="4" t="n">
        <v>42849</v>
      </c>
      <c r="J11" s="5">
        <f>SUM(G11:I11)</f>
        <v/>
      </c>
      <c r="K11" s="4" t="n">
        <v>39600</v>
      </c>
      <c r="L11" s="4" t="n">
        <v>45540</v>
      </c>
      <c r="M11" s="4" t="n">
        <v>52371</v>
      </c>
      <c r="N11" s="5">
        <f>SUM(K11:M11)</f>
        <v/>
      </c>
      <c r="O11" s="6" t="inlineStr">
        <is>
          <t>Based on projected traffic growth</t>
        </is>
      </c>
    </row>
    <row r="12">
      <c r="A12" s="3" t="inlineStr">
        <is>
          <t>Cloud IaaS</t>
        </is>
      </c>
      <c r="B12" s="3" t="inlineStr">
        <is>
          <t>Snapshot/Backup Storage</t>
        </is>
      </c>
      <c r="C12" s="4" t="n">
        <v>12000</v>
      </c>
      <c r="D12" s="4" t="n">
        <v>13800</v>
      </c>
      <c r="E12" s="4" t="n">
        <v>15870</v>
      </c>
      <c r="F12" s="5">
        <f>SUM(C12:E12)</f>
        <v/>
      </c>
      <c r="G12" s="4" t="n">
        <v>10800</v>
      </c>
      <c r="H12" s="4" t="n">
        <v>12420</v>
      </c>
      <c r="I12" s="4" t="n">
        <v>14283</v>
      </c>
      <c r="J12" s="5">
        <f>SUM(G12:I12)</f>
        <v/>
      </c>
      <c r="K12" s="4" t="n">
        <v>13200</v>
      </c>
      <c r="L12" s="4" t="n">
        <v>15180</v>
      </c>
      <c r="M12" s="4" t="n">
        <v>17457</v>
      </c>
      <c r="N12" s="5">
        <f>SUM(K12:M12)</f>
        <v/>
      </c>
      <c r="O12" s="6" t="inlineStr">
        <is>
          <t>Daily snapshots, 30-day retention</t>
        </is>
      </c>
    </row>
    <row r="13">
      <c r="A13" s="3" t="inlineStr">
        <is>
          <t>Cloud IaaS</t>
        </is>
      </c>
      <c r="B13" s="3" t="inlineStr">
        <is>
          <t>API Gateway Requests</t>
        </is>
      </c>
      <c r="C13" s="4" t="n">
        <v>3600</v>
      </c>
      <c r="D13" s="4" t="n">
        <v>4140</v>
      </c>
      <c r="E13" s="4" t="n">
        <v>4761</v>
      </c>
      <c r="F13" s="5">
        <f>SUM(C13:E13)</f>
        <v/>
      </c>
      <c r="G13" s="4" t="n">
        <v>4200</v>
      </c>
      <c r="H13" s="4" t="n">
        <v>4830</v>
      </c>
      <c r="I13" s="4" t="n">
        <v>5555</v>
      </c>
      <c r="J13" s="5">
        <f>SUM(G13:I13)</f>
        <v/>
      </c>
      <c r="K13" s="4" t="n">
        <v>3000</v>
      </c>
      <c r="L13" s="4" t="n">
        <v>3450</v>
      </c>
      <c r="M13" s="4" t="n">
        <v>3968</v>
      </c>
      <c r="N13" s="5">
        <f>SUM(K13:M13)</f>
        <v/>
      </c>
      <c r="O13" s="6" t="inlineStr">
        <is>
          <t>Est. 50M requests/month</t>
        </is>
      </c>
    </row>
    <row r="14">
      <c r="A14" s="3" t="inlineStr">
        <is>
          <t>Cloud IaaS</t>
        </is>
      </c>
      <c r="B14" s="3" t="inlineStr">
        <is>
          <t>Container Orchestration</t>
        </is>
      </c>
      <c r="C14" s="4" t="n">
        <v>18000</v>
      </c>
      <c r="D14" s="4" t="n">
        <v>20700</v>
      </c>
      <c r="E14" s="4" t="n">
        <v>23805</v>
      </c>
      <c r="F14" s="5">
        <f>SUM(C14:E14)</f>
        <v/>
      </c>
      <c r="G14" s="4" t="n">
        <v>16200</v>
      </c>
      <c r="H14" s="4" t="n">
        <v>18630</v>
      </c>
      <c r="I14" s="4" t="n">
        <v>21425</v>
      </c>
      <c r="J14" s="5">
        <f>SUM(G14:I14)</f>
        <v/>
      </c>
      <c r="K14" s="4" t="n">
        <v>19800</v>
      </c>
      <c r="L14" s="4" t="n">
        <v>22770</v>
      </c>
      <c r="M14" s="4" t="n">
        <v>26186</v>
      </c>
      <c r="N14" s="5">
        <f>SUM(K14:M14)</f>
        <v/>
      </c>
      <c r="O14" s="6" t="inlineStr">
        <is>
          <t>Managed Kubernetes clusters</t>
        </is>
      </c>
    </row>
    <row r="15">
      <c r="A15" s="3" t="inlineStr">
        <is>
          <t>Network</t>
        </is>
      </c>
      <c r="B15" s="3" t="inlineStr">
        <is>
          <t>WAN Circuits (2x10G)</t>
        </is>
      </c>
      <c r="C15" s="4" t="n">
        <v>96000</v>
      </c>
      <c r="D15" s="4" t="n">
        <v>96000</v>
      </c>
      <c r="E15" s="4" t="n">
        <v>96000</v>
      </c>
      <c r="F15" s="5">
        <f>SUM(C15:E15)</f>
        <v/>
      </c>
      <c r="G15" s="4" t="n">
        <v>108000</v>
      </c>
      <c r="H15" s="4" t="n">
        <v>108000</v>
      </c>
      <c r="I15" s="4" t="n">
        <v>108000</v>
      </c>
      <c r="J15" s="5">
        <f>SUM(G15:I15)</f>
        <v/>
      </c>
      <c r="K15" s="4" t="n">
        <v>84000</v>
      </c>
      <c r="L15" s="4" t="n">
        <v>84000</v>
      </c>
      <c r="M15" s="4" t="n">
        <v>84000</v>
      </c>
      <c r="N15" s="5">
        <f>SUM(K15:M15)</f>
        <v/>
      </c>
      <c r="O15" s="6" t="inlineStr">
        <is>
          <t>Dual diverse-path 10 Gbps circuits</t>
        </is>
      </c>
    </row>
    <row r="16">
      <c r="A16" s="3" t="inlineStr">
        <is>
          <t>Network</t>
        </is>
      </c>
      <c r="B16" s="3" t="inlineStr">
        <is>
          <t>DDoS Protection</t>
        </is>
      </c>
      <c r="C16" s="4" t="n">
        <v>36000</v>
      </c>
      <c r="D16" s="4" t="n">
        <v>36000</v>
      </c>
      <c r="E16" s="4" t="n">
        <v>36000</v>
      </c>
      <c r="F16" s="5">
        <f>SUM(C16:E16)</f>
        <v/>
      </c>
      <c r="G16" s="4" t="n">
        <v>42000</v>
      </c>
      <c r="H16" s="4" t="n">
        <v>42000</v>
      </c>
      <c r="I16" s="4" t="n">
        <v>42000</v>
      </c>
      <c r="J16" s="5">
        <f>SUM(G16:I16)</f>
        <v/>
      </c>
      <c r="K16" s="4" t="n">
        <v>30000</v>
      </c>
      <c r="L16" s="4" t="n">
        <v>30000</v>
      </c>
      <c r="M16" s="4" t="n">
        <v>30000</v>
      </c>
      <c r="N16" s="5">
        <f>SUM(K16:M16)</f>
        <v/>
      </c>
      <c r="O16" s="6" t="inlineStr">
        <is>
          <t>Volumetric + application layer</t>
        </is>
      </c>
    </row>
    <row r="17">
      <c r="A17" s="3" t="inlineStr">
        <is>
          <t>Network</t>
        </is>
      </c>
      <c r="B17" s="3" t="inlineStr">
        <is>
          <t>Load Balancers (managed)</t>
        </is>
      </c>
      <c r="C17" s="4" t="n">
        <v>24000</v>
      </c>
      <c r="D17" s="4" t="n">
        <v>24000</v>
      </c>
      <c r="E17" s="4" t="n">
        <v>24000</v>
      </c>
      <c r="F17" s="5">
        <f>SUM(C17:E17)</f>
        <v/>
      </c>
      <c r="G17" s="4" t="n">
        <v>18000</v>
      </c>
      <c r="H17" s="4" t="n">
        <v>18000</v>
      </c>
      <c r="I17" s="4" t="n">
        <v>18000</v>
      </c>
      <c r="J17" s="5">
        <f>SUM(G17:I17)</f>
        <v/>
      </c>
      <c r="K17" s="4" t="n">
        <v>28800</v>
      </c>
      <c r="L17" s="4" t="n">
        <v>28800</v>
      </c>
      <c r="M17" s="4" t="n">
        <v>28800</v>
      </c>
      <c r="N17" s="5">
        <f>SUM(K17:M17)</f>
        <v/>
      </c>
      <c r="O17" s="6" t="inlineStr">
        <is>
          <t>Global + regional LB pairs</t>
        </is>
      </c>
    </row>
    <row r="18">
      <c r="A18" s="3" t="inlineStr">
        <is>
          <t>Network</t>
        </is>
      </c>
      <c r="B18" s="3" t="inlineStr">
        <is>
          <t>Direct Connect/Peering</t>
        </is>
      </c>
      <c r="C18" s="4" t="n">
        <v>18000</v>
      </c>
      <c r="D18" s="4" t="n">
        <v>18000</v>
      </c>
      <c r="E18" s="4" t="n">
        <v>18000</v>
      </c>
      <c r="F18" s="5">
        <f>SUM(C18:E18)</f>
        <v/>
      </c>
      <c r="G18" s="4" t="n">
        <v>21600</v>
      </c>
      <c r="H18" s="4" t="n">
        <v>21600</v>
      </c>
      <c r="I18" s="4" t="n">
        <v>21600</v>
      </c>
      <c r="J18" s="5">
        <f>SUM(G18:I18)</f>
        <v/>
      </c>
      <c r="K18" s="4" t="n">
        <v>15600</v>
      </c>
      <c r="L18" s="4" t="n">
        <v>15600</v>
      </c>
      <c r="M18" s="4" t="n">
        <v>15600</v>
      </c>
      <c r="N18" s="5">
        <f>SUM(K18:M18)</f>
        <v/>
      </c>
      <c r="O18" s="6" t="inlineStr">
        <is>
          <t>Cloud provider direct peering</t>
        </is>
      </c>
    </row>
    <row r="19">
      <c r="A19" s="3" t="inlineStr">
        <is>
          <t>Network</t>
        </is>
      </c>
      <c r="B19" s="3" t="inlineStr">
        <is>
          <t>SD-WAN Overlay</t>
        </is>
      </c>
      <c r="C19" s="4" t="n">
        <v>14400</v>
      </c>
      <c r="D19" s="4" t="n">
        <v>14400</v>
      </c>
      <c r="E19" s="4" t="n">
        <v>14400</v>
      </c>
      <c r="F19" s="5">
        <f>SUM(C19:E19)</f>
        <v/>
      </c>
      <c r="G19" s="4" t="n">
        <v>12000</v>
      </c>
      <c r="H19" s="4" t="n">
        <v>12000</v>
      </c>
      <c r="I19" s="4" t="n">
        <v>12000</v>
      </c>
      <c r="J19" s="5">
        <f>SUM(G19:I19)</f>
        <v/>
      </c>
      <c r="K19" s="4" t="n">
        <v>16800</v>
      </c>
      <c r="L19" s="4" t="n">
        <v>16800</v>
      </c>
      <c r="M19" s="4" t="n">
        <v>16800</v>
      </c>
      <c r="N19" s="5">
        <f>SUM(K19:M19)</f>
        <v/>
      </c>
      <c r="O19" s="6" t="inlineStr">
        <is>
          <t>Branch office connectivity</t>
        </is>
      </c>
    </row>
    <row r="20">
      <c r="A20" s="3" t="inlineStr">
        <is>
          <t>Network</t>
        </is>
      </c>
      <c r="B20" s="3" t="inlineStr">
        <is>
          <t>Firewall-as-a-Service</t>
        </is>
      </c>
      <c r="C20" s="4" t="n">
        <v>28800</v>
      </c>
      <c r="D20" s="4" t="n">
        <v>28800</v>
      </c>
      <c r="E20" s="4" t="n">
        <v>28800</v>
      </c>
      <c r="F20" s="5">
        <f>SUM(C20:E20)</f>
        <v/>
      </c>
      <c r="G20" s="4" t="n">
        <v>32400</v>
      </c>
      <c r="H20" s="4" t="n">
        <v>32400</v>
      </c>
      <c r="I20" s="4" t="n">
        <v>32400</v>
      </c>
      <c r="J20" s="5">
        <f>SUM(G20:I20)</f>
        <v/>
      </c>
      <c r="K20" s="4" t="n">
        <v>25200</v>
      </c>
      <c r="L20" s="4" t="n">
        <v>25200</v>
      </c>
      <c r="M20" s="4" t="n">
        <v>25200</v>
      </c>
      <c r="N20" s="5">
        <f>SUM(K20:M20)</f>
        <v/>
      </c>
      <c r="O20" s="6" t="inlineStr">
        <is>
          <t>Next-gen FW with IPS/IDS</t>
        </is>
      </c>
    </row>
    <row r="21">
      <c r="A21" s="3" t="inlineStr">
        <is>
          <t>Professional Services</t>
        </is>
      </c>
      <c r="B21" s="3" t="inlineStr">
        <is>
          <t>Migration Engineering</t>
        </is>
      </c>
      <c r="C21" s="4" t="n">
        <v>240000</v>
      </c>
      <c r="D21" s="4" t="n">
        <v>120000</v>
      </c>
      <c r="E21" s="4" t="n">
        <v>0</v>
      </c>
      <c r="F21" s="5">
        <f>SUM(C21:E21)</f>
        <v/>
      </c>
      <c r="G21" s="4" t="n">
        <v>280000</v>
      </c>
      <c r="H21" s="4" t="n">
        <v>140000</v>
      </c>
      <c r="I21" s="4" t="n">
        <v>0</v>
      </c>
      <c r="J21" s="5">
        <f>SUM(G21:I21)</f>
        <v/>
      </c>
      <c r="K21" s="4" t="n">
        <v>200000</v>
      </c>
      <c r="L21" s="4" t="n">
        <v>100000</v>
      </c>
      <c r="M21" s="4" t="n">
        <v>0</v>
      </c>
      <c r="N21" s="5">
        <f>SUM(K21:M21)</f>
        <v/>
      </c>
      <c r="O21" s="6" t="inlineStr">
        <is>
          <t>Dedicated migration squad</t>
        </is>
      </c>
    </row>
    <row r="22">
      <c r="A22" s="3" t="inlineStr">
        <is>
          <t>Professional Services</t>
        </is>
      </c>
      <c r="B22" s="3" t="inlineStr">
        <is>
          <t>Project Management</t>
        </is>
      </c>
      <c r="C22" s="4" t="n">
        <v>180000</v>
      </c>
      <c r="D22" s="4" t="n">
        <v>90000</v>
      </c>
      <c r="E22" s="4" t="n">
        <v>0</v>
      </c>
      <c r="F22" s="5">
        <f>SUM(C22:E22)</f>
        <v/>
      </c>
      <c r="G22" s="4" t="n">
        <v>160000</v>
      </c>
      <c r="H22" s="4" t="n">
        <v>80000</v>
      </c>
      <c r="I22" s="4" t="n">
        <v>0</v>
      </c>
      <c r="J22" s="5">
        <f>SUM(G22:I22)</f>
        <v/>
      </c>
      <c r="K22" s="4" t="n">
        <v>200000</v>
      </c>
      <c r="L22" s="4" t="n">
        <v>100000</v>
      </c>
      <c r="M22" s="4" t="n">
        <v>0</v>
      </c>
      <c r="N22" s="5">
        <f>SUM(K22:M22)</f>
        <v/>
      </c>
      <c r="O22" s="6" t="inlineStr">
        <is>
          <t>PMO support through migration</t>
        </is>
      </c>
    </row>
    <row r="23">
      <c r="A23" s="3" t="inlineStr">
        <is>
          <t>Professional Services</t>
        </is>
      </c>
      <c r="B23" s="3" t="inlineStr">
        <is>
          <t>Architecture Review</t>
        </is>
      </c>
      <c r="C23" s="4" t="n">
        <v>45000</v>
      </c>
      <c r="D23" s="4" t="n">
        <v>0</v>
      </c>
      <c r="E23" s="4" t="n">
        <v>0</v>
      </c>
      <c r="F23" s="5">
        <f>SUM(C23:E23)</f>
        <v/>
      </c>
      <c r="G23" s="4" t="n">
        <v>55000</v>
      </c>
      <c r="H23" s="4" t="n">
        <v>0</v>
      </c>
      <c r="I23" s="4" t="n">
        <v>0</v>
      </c>
      <c r="J23" s="5">
        <f>SUM(G23:I23)</f>
        <v/>
      </c>
      <c r="K23" s="4" t="n">
        <v>40000</v>
      </c>
      <c r="L23" s="4" t="n">
        <v>0</v>
      </c>
      <c r="M23" s="4" t="n">
        <v>0</v>
      </c>
      <c r="N23" s="5">
        <f>SUM(K23:M23)</f>
        <v/>
      </c>
      <c r="O23" s="6" t="inlineStr">
        <is>
          <t>Target state architecture validation</t>
        </is>
      </c>
    </row>
    <row r="24">
      <c r="A24" s="3" t="inlineStr">
        <is>
          <t>Professional Services</t>
        </is>
      </c>
      <c r="B24" s="3" t="inlineStr">
        <is>
          <t>Staff Training</t>
        </is>
      </c>
      <c r="C24" s="4" t="n">
        <v>35000</v>
      </c>
      <c r="D24" s="4" t="n">
        <v>15000</v>
      </c>
      <c r="E24" s="4" t="n">
        <v>0</v>
      </c>
      <c r="F24" s="5">
        <f>SUM(C24:E24)</f>
        <v/>
      </c>
      <c r="G24" s="4" t="n">
        <v>40000</v>
      </c>
      <c r="H24" s="4" t="n">
        <v>18000</v>
      </c>
      <c r="I24" s="4" t="n">
        <v>0</v>
      </c>
      <c r="J24" s="5">
        <f>SUM(G24:I24)</f>
        <v/>
      </c>
      <c r="K24" s="4" t="n">
        <v>30000</v>
      </c>
      <c r="L24" s="4" t="n">
        <v>12000</v>
      </c>
      <c r="M24" s="4" t="n">
        <v>0</v>
      </c>
      <c r="N24" s="5">
        <f>SUM(K24:M24)</f>
        <v/>
      </c>
      <c r="O24" s="6" t="inlineStr">
        <is>
          <t>Operations team enablement</t>
        </is>
      </c>
    </row>
    <row r="25">
      <c r="A25" s="3" t="inlineStr">
        <is>
          <t>Professional Services</t>
        </is>
      </c>
      <c r="B25" s="3" t="inlineStr">
        <is>
          <t>Compliance Audit</t>
        </is>
      </c>
      <c r="C25" s="4" t="n">
        <v>25000</v>
      </c>
      <c r="D25" s="4" t="n">
        <v>25000</v>
      </c>
      <c r="E25" s="4" t="n">
        <v>25000</v>
      </c>
      <c r="F25" s="5">
        <f>SUM(C25:E25)</f>
        <v/>
      </c>
      <c r="G25" s="4" t="n">
        <v>30000</v>
      </c>
      <c r="H25" s="4" t="n">
        <v>30000</v>
      </c>
      <c r="I25" s="4" t="n">
        <v>30000</v>
      </c>
      <c r="J25" s="5">
        <f>SUM(G25:I25)</f>
        <v/>
      </c>
      <c r="K25" s="4" t="n">
        <v>22000</v>
      </c>
      <c r="L25" s="4" t="n">
        <v>22000</v>
      </c>
      <c r="M25" s="4" t="n">
        <v>22000</v>
      </c>
      <c r="N25" s="5">
        <f>SUM(K25:M25)</f>
        <v/>
      </c>
      <c r="O25" s="6" t="inlineStr">
        <is>
          <t>Annual SOC 2 + PCI DSS audit</t>
        </is>
      </c>
    </row>
    <row r="26">
      <c r="A26" s="3" t="inlineStr">
        <is>
          <t>Internal Labor</t>
        </is>
      </c>
      <c r="B26" s="3" t="inlineStr">
        <is>
          <t>Infrastructure Team (FTE)</t>
        </is>
      </c>
      <c r="C26" s="4" t="n">
        <v>420000</v>
      </c>
      <c r="D26" s="4" t="n">
        <v>420000</v>
      </c>
      <c r="E26" s="4" t="n">
        <v>420000</v>
      </c>
      <c r="F26" s="5">
        <f>SUM(C26:E26)</f>
        <v/>
      </c>
      <c r="G26" s="4" t="n">
        <v>420000</v>
      </c>
      <c r="H26" s="4" t="n">
        <v>420000</v>
      </c>
      <c r="I26" s="4" t="n">
        <v>420000</v>
      </c>
      <c r="J26" s="5">
        <f>SUM(G26:I26)</f>
        <v/>
      </c>
      <c r="K26" s="4" t="n">
        <v>420000</v>
      </c>
      <c r="L26" s="4" t="n">
        <v>420000</v>
      </c>
      <c r="M26" s="4" t="n">
        <v>420000</v>
      </c>
      <c r="N26" s="5">
        <f>SUM(K26:M26)</f>
        <v/>
      </c>
      <c r="O26" s="6" t="inlineStr">
        <is>
          <t>3 FTEs @ $140K fully loaded</t>
        </is>
      </c>
    </row>
    <row r="27">
      <c r="A27" s="3" t="inlineStr">
        <is>
          <t>Internal Labor</t>
        </is>
      </c>
      <c r="B27" s="3" t="inlineStr">
        <is>
          <t>App Team Overtime</t>
        </is>
      </c>
      <c r="C27" s="4" t="n">
        <v>96000</v>
      </c>
      <c r="D27" s="4" t="n">
        <v>48000</v>
      </c>
      <c r="E27" s="4" t="n">
        <v>0</v>
      </c>
      <c r="F27" s="5">
        <f>SUM(C27:E27)</f>
        <v/>
      </c>
      <c r="G27" s="4" t="n">
        <v>96000</v>
      </c>
      <c r="H27" s="4" t="n">
        <v>48000</v>
      </c>
      <c r="I27" s="4" t="n">
        <v>0</v>
      </c>
      <c r="J27" s="5">
        <f>SUM(G27:I27)</f>
        <v/>
      </c>
      <c r="K27" s="4" t="n">
        <v>96000</v>
      </c>
      <c r="L27" s="4" t="n">
        <v>48000</v>
      </c>
      <c r="M27" s="4" t="n">
        <v>0</v>
      </c>
      <c r="N27" s="5">
        <f>SUM(K27:M27)</f>
        <v/>
      </c>
      <c r="O27" s="6" t="inlineStr">
        <is>
          <t>Application migration support</t>
        </is>
      </c>
    </row>
    <row r="28">
      <c r="A28" s="3" t="inlineStr">
        <is>
          <t>Internal Labor</t>
        </is>
      </c>
      <c r="B28" s="3" t="inlineStr">
        <is>
          <t>Security Engineering</t>
        </is>
      </c>
      <c r="C28" s="4" t="n">
        <v>180000</v>
      </c>
      <c r="D28" s="4" t="n">
        <v>180000</v>
      </c>
      <c r="E28" s="4" t="n">
        <v>180000</v>
      </c>
      <c r="F28" s="5">
        <f>SUM(C28:E28)</f>
        <v/>
      </c>
      <c r="G28" s="4" t="n">
        <v>180000</v>
      </c>
      <c r="H28" s="4" t="n">
        <v>180000</v>
      </c>
      <c r="I28" s="4" t="n">
        <v>180000</v>
      </c>
      <c r="J28" s="5">
        <f>SUM(G28:I28)</f>
        <v/>
      </c>
      <c r="K28" s="4" t="n">
        <v>180000</v>
      </c>
      <c r="L28" s="4" t="n">
        <v>180000</v>
      </c>
      <c r="M28" s="4" t="n">
        <v>180000</v>
      </c>
      <c r="N28" s="5">
        <f>SUM(K28:M28)</f>
        <v/>
      </c>
      <c r="O28" s="6" t="inlineStr">
        <is>
          <t>Dedicated security resource</t>
        </is>
      </c>
    </row>
    <row r="29">
      <c r="A29" s="3" t="inlineStr">
        <is>
          <t>Internal Labor</t>
        </is>
      </c>
      <c r="B29" s="3" t="inlineStr">
        <is>
          <t>Network Engineering</t>
        </is>
      </c>
      <c r="C29" s="4" t="n">
        <v>150000</v>
      </c>
      <c r="D29" s="4" t="n">
        <v>150000</v>
      </c>
      <c r="E29" s="4" t="n">
        <v>150000</v>
      </c>
      <c r="F29" s="5">
        <f>SUM(C29:E29)</f>
        <v/>
      </c>
      <c r="G29" s="4" t="n">
        <v>150000</v>
      </c>
      <c r="H29" s="4" t="n">
        <v>150000</v>
      </c>
      <c r="I29" s="4" t="n">
        <v>150000</v>
      </c>
      <c r="J29" s="5">
        <f>SUM(G29:I29)</f>
        <v/>
      </c>
      <c r="K29" s="4" t="n">
        <v>150000</v>
      </c>
      <c r="L29" s="4" t="n">
        <v>150000</v>
      </c>
      <c r="M29" s="4" t="n">
        <v>150000</v>
      </c>
      <c r="N29" s="5">
        <f>SUM(K29:M29)</f>
        <v/>
      </c>
      <c r="O29" s="6" t="inlineStr">
        <is>
          <t>Network migration support</t>
        </is>
      </c>
    </row>
    <row r="30">
      <c r="A30" s="3" t="inlineStr">
        <is>
          <t>Hardware</t>
        </is>
      </c>
      <c r="B30" s="3" t="inlineStr">
        <is>
          <t>New Network Equipment</t>
        </is>
      </c>
      <c r="C30" s="4" t="n">
        <v>125000</v>
      </c>
      <c r="D30" s="4" t="n">
        <v>0</v>
      </c>
      <c r="E30" s="4" t="n">
        <v>0</v>
      </c>
      <c r="F30" s="5">
        <f>SUM(C30:E30)</f>
        <v/>
      </c>
      <c r="G30" s="4" t="n">
        <v>98000</v>
      </c>
      <c r="H30" s="4" t="n">
        <v>0</v>
      </c>
      <c r="I30" s="4" t="n">
        <v>0</v>
      </c>
      <c r="J30" s="5">
        <f>SUM(G30:I30)</f>
        <v/>
      </c>
      <c r="K30" s="4" t="n">
        <v>145000</v>
      </c>
      <c r="L30" s="4" t="n">
        <v>0</v>
      </c>
      <c r="M30" s="4" t="n">
        <v>0</v>
      </c>
      <c r="N30" s="5">
        <f>SUM(K30:M30)</f>
        <v/>
      </c>
      <c r="O30" s="6" t="inlineStr">
        <is>
          <t>Switches, routers, firewalls</t>
        </is>
      </c>
    </row>
    <row r="31">
      <c r="A31" s="3" t="inlineStr">
        <is>
          <t>Hardware</t>
        </is>
      </c>
      <c r="B31" s="3" t="inlineStr">
        <is>
          <t>Server Decommissioning</t>
        </is>
      </c>
      <c r="C31" s="4" t="n">
        <v>18000</v>
      </c>
      <c r="D31" s="4" t="n">
        <v>12000</v>
      </c>
      <c r="E31" s="4" t="n">
        <v>0</v>
      </c>
      <c r="F31" s="5">
        <f>SUM(C31:E31)</f>
        <v/>
      </c>
      <c r="G31" s="4" t="n">
        <v>18000</v>
      </c>
      <c r="H31" s="4" t="n">
        <v>12000</v>
      </c>
      <c r="I31" s="4" t="n">
        <v>0</v>
      </c>
      <c r="J31" s="5">
        <f>SUM(G31:I31)</f>
        <v/>
      </c>
      <c r="K31" s="4" t="n">
        <v>18000</v>
      </c>
      <c r="L31" s="4" t="n">
        <v>12000</v>
      </c>
      <c r="M31" s="4" t="n">
        <v>0</v>
      </c>
      <c r="N31" s="5">
        <f>SUM(K31:M31)</f>
        <v/>
      </c>
      <c r="O31" s="6" t="inlineStr">
        <is>
          <t>Includes data sanitization</t>
        </is>
      </c>
    </row>
    <row r="32">
      <c r="A32" s="3" t="inlineStr">
        <is>
          <t>Hardware</t>
        </is>
      </c>
      <c r="B32" s="3" t="inlineStr">
        <is>
          <t>Equipment Disposal (ITAD)</t>
        </is>
      </c>
      <c r="C32" s="4" t="n">
        <v>8000</v>
      </c>
      <c r="D32" s="4" t="n">
        <v>5000</v>
      </c>
      <c r="E32" s="4" t="n">
        <v>0</v>
      </c>
      <c r="F32" s="5">
        <f>SUM(C32:E32)</f>
        <v/>
      </c>
      <c r="G32" s="4" t="n">
        <v>8000</v>
      </c>
      <c r="H32" s="4" t="n">
        <v>5000</v>
      </c>
      <c r="I32" s="4" t="n">
        <v>0</v>
      </c>
      <c r="J32" s="5">
        <f>SUM(G32:I32)</f>
        <v/>
      </c>
      <c r="K32" s="4" t="n">
        <v>8000</v>
      </c>
      <c r="L32" s="4" t="n">
        <v>5000</v>
      </c>
      <c r="M32" s="4" t="n">
        <v>0</v>
      </c>
      <c r="N32" s="5">
        <f>SUM(K32:M32)</f>
        <v/>
      </c>
      <c r="O32" s="6" t="inlineStr">
        <is>
          <t>Certified e-waste recycling</t>
        </is>
      </c>
    </row>
    <row r="33">
      <c r="A33" s="3" t="inlineStr">
        <is>
          <t>Hardware</t>
        </is>
      </c>
      <c r="B33" s="3" t="inlineStr">
        <is>
          <t>Shipping &amp; Logistics</t>
        </is>
      </c>
      <c r="C33" s="4" t="n">
        <v>22000</v>
      </c>
      <c r="D33" s="4" t="n">
        <v>8000</v>
      </c>
      <c r="E33" s="4" t="n">
        <v>0</v>
      </c>
      <c r="F33" s="5">
        <f>SUM(C33:E33)</f>
        <v/>
      </c>
      <c r="G33" s="4" t="n">
        <v>18000</v>
      </c>
      <c r="H33" s="4" t="n">
        <v>6000</v>
      </c>
      <c r="I33" s="4" t="n">
        <v>0</v>
      </c>
      <c r="J33" s="5">
        <f>SUM(G33:I33)</f>
        <v/>
      </c>
      <c r="K33" s="4" t="n">
        <v>25000</v>
      </c>
      <c r="L33" s="4" t="n">
        <v>10000</v>
      </c>
      <c r="M33" s="4" t="n">
        <v>0</v>
      </c>
      <c r="N33" s="5">
        <f>SUM(K33:M33)</f>
        <v/>
      </c>
      <c r="O33" s="6" t="inlineStr">
        <is>
          <t>Equipment relocation costs</t>
        </is>
      </c>
    </row>
    <row r="34">
      <c r="A34" s="3" t="inlineStr">
        <is>
          <t>Licensing</t>
        </is>
      </c>
      <c r="B34" s="3" t="inlineStr">
        <is>
          <t>Hypervisor Platform</t>
        </is>
      </c>
      <c r="C34" s="4" t="n">
        <v>86400</v>
      </c>
      <c r="D34" s="4" t="n">
        <v>86400</v>
      </c>
      <c r="E34" s="4" t="n">
        <v>86400</v>
      </c>
      <c r="F34" s="5">
        <f>SUM(C34:E34)</f>
        <v/>
      </c>
      <c r="G34" s="4" t="n">
        <v>72000</v>
      </c>
      <c r="H34" s="4" t="n">
        <v>72000</v>
      </c>
      <c r="I34" s="4" t="n">
        <v>72000</v>
      </c>
      <c r="J34" s="5">
        <f>SUM(G34:I34)</f>
        <v/>
      </c>
      <c r="K34" s="4" t="n">
        <v>96000</v>
      </c>
      <c r="L34" s="4" t="n">
        <v>96000</v>
      </c>
      <c r="M34" s="4" t="n">
        <v>96000</v>
      </c>
      <c r="N34" s="5">
        <f>SUM(K34:M34)</f>
        <v/>
      </c>
      <c r="O34" s="6" t="inlineStr">
        <is>
          <t>Per-socket licensing</t>
        </is>
      </c>
    </row>
    <row r="35">
      <c r="A35" s="3" t="inlineStr">
        <is>
          <t>Licensing</t>
        </is>
      </c>
      <c r="B35" s="3" t="inlineStr">
        <is>
          <t>Monitoring &amp; Observability</t>
        </is>
      </c>
      <c r="C35" s="4" t="n">
        <v>36000</v>
      </c>
      <c r="D35" s="4" t="n">
        <v>36000</v>
      </c>
      <c r="E35" s="4" t="n">
        <v>36000</v>
      </c>
      <c r="F35" s="5">
        <f>SUM(C35:E35)</f>
        <v/>
      </c>
      <c r="G35" s="4" t="n">
        <v>42000</v>
      </c>
      <c r="H35" s="4" t="n">
        <v>42000</v>
      </c>
      <c r="I35" s="4" t="n">
        <v>42000</v>
      </c>
      <c r="J35" s="5">
        <f>SUM(G35:I35)</f>
        <v/>
      </c>
      <c r="K35" s="4" t="n">
        <v>30000</v>
      </c>
      <c r="L35" s="4" t="n">
        <v>30000</v>
      </c>
      <c r="M35" s="4" t="n">
        <v>30000</v>
      </c>
      <c r="N35" s="5">
        <f>SUM(K35:M35)</f>
        <v/>
      </c>
      <c r="O35" s="6" t="inlineStr">
        <is>
          <t>APM + infrastructure monitoring</t>
        </is>
      </c>
    </row>
    <row r="36">
      <c r="A36" s="3" t="inlineStr">
        <is>
          <t>Licensing</t>
        </is>
      </c>
      <c r="B36" s="3" t="inlineStr">
        <is>
          <t>Backup &amp; DR Platform</t>
        </is>
      </c>
      <c r="C36" s="4" t="n">
        <v>48000</v>
      </c>
      <c r="D36" s="4" t="n">
        <v>48000</v>
      </c>
      <c r="E36" s="4" t="n">
        <v>48000</v>
      </c>
      <c r="F36" s="5">
        <f>SUM(C36:E36)</f>
        <v/>
      </c>
      <c r="G36" s="4" t="n">
        <v>52000</v>
      </c>
      <c r="H36" s="4" t="n">
        <v>52000</v>
      </c>
      <c r="I36" s="4" t="n">
        <v>52000</v>
      </c>
      <c r="J36" s="5">
        <f>SUM(G36:I36)</f>
        <v/>
      </c>
      <c r="K36" s="4" t="n">
        <v>44000</v>
      </c>
      <c r="L36" s="4" t="n">
        <v>44000</v>
      </c>
      <c r="M36" s="4" t="n">
        <v>44000</v>
      </c>
      <c r="N36" s="5">
        <f>SUM(K36:M36)</f>
        <v/>
      </c>
      <c r="O36" s="6" t="inlineStr">
        <is>
          <t>Enterprise backup suite</t>
        </is>
      </c>
    </row>
    <row r="37">
      <c r="A37" s="3" t="inlineStr">
        <is>
          <t>Licensing</t>
        </is>
      </c>
      <c r="B37" s="3" t="inlineStr">
        <is>
          <t>OS Licenses (Windows/Linux)</t>
        </is>
      </c>
      <c r="C37" s="4" t="n">
        <v>24000</v>
      </c>
      <c r="D37" s="4" t="n">
        <v>24000</v>
      </c>
      <c r="E37" s="4" t="n">
        <v>24000</v>
      </c>
      <c r="F37" s="5">
        <f>SUM(C37:E37)</f>
        <v/>
      </c>
      <c r="G37" s="4" t="n">
        <v>24000</v>
      </c>
      <c r="H37" s="4" t="n">
        <v>24000</v>
      </c>
      <c r="I37" s="4" t="n">
        <v>24000</v>
      </c>
      <c r="J37" s="5">
        <f>SUM(G37:I37)</f>
        <v/>
      </c>
      <c r="K37" s="4" t="n">
        <v>24000</v>
      </c>
      <c r="L37" s="4" t="n">
        <v>24000</v>
      </c>
      <c r="M37" s="4" t="n">
        <v>24000</v>
      </c>
      <c r="N37" s="5">
        <f>SUM(K37:M37)</f>
        <v/>
      </c>
      <c r="O37" s="6" t="inlineStr">
        <is>
          <t>Per-core licensing model</t>
        </is>
      </c>
    </row>
    <row r="38">
      <c r="A38" s="3" t="inlineStr">
        <is>
          <t>Licensing</t>
        </is>
      </c>
      <c r="B38" s="3" t="inlineStr">
        <is>
          <t>Database Licenses</t>
        </is>
      </c>
      <c r="C38" s="4" t="n">
        <v>96000</v>
      </c>
      <c r="D38" s="4" t="n">
        <v>96000</v>
      </c>
      <c r="E38" s="4" t="n">
        <v>96000</v>
      </c>
      <c r="F38" s="5">
        <f>SUM(C38:E38)</f>
        <v/>
      </c>
      <c r="G38" s="4" t="n">
        <v>96000</v>
      </c>
      <c r="H38" s="4" t="n">
        <v>96000</v>
      </c>
      <c r="I38" s="4" t="n">
        <v>96000</v>
      </c>
      <c r="J38" s="5">
        <f>SUM(G38:I38)</f>
        <v/>
      </c>
      <c r="K38" s="4" t="n">
        <v>96000</v>
      </c>
      <c r="L38" s="4" t="n">
        <v>96000</v>
      </c>
      <c r="M38" s="4" t="n">
        <v>96000</v>
      </c>
      <c r="N38" s="5">
        <f>SUM(K38:M38)</f>
        <v/>
      </c>
      <c r="O38" s="6" t="inlineStr">
        <is>
          <t>Oracle/SQL Server enterprise</t>
        </is>
      </c>
    </row>
    <row r="39">
      <c r="A39" s="3" t="inlineStr">
        <is>
          <t>Licensing</t>
        </is>
      </c>
      <c r="B39" s="3" t="inlineStr">
        <is>
          <t>Security &amp; Compliance Tools</t>
        </is>
      </c>
      <c r="C39" s="4" t="n">
        <v>18000</v>
      </c>
      <c r="D39" s="4" t="n">
        <v>18000</v>
      </c>
      <c r="E39" s="4" t="n">
        <v>18000</v>
      </c>
      <c r="F39" s="5">
        <f>SUM(C39:E39)</f>
        <v/>
      </c>
      <c r="G39" s="4" t="n">
        <v>21000</v>
      </c>
      <c r="H39" s="4" t="n">
        <v>21000</v>
      </c>
      <c r="I39" s="4" t="n">
        <v>21000</v>
      </c>
      <c r="J39" s="5">
        <f>SUM(G39:I39)</f>
        <v/>
      </c>
      <c r="K39" s="4" t="n">
        <v>15000</v>
      </c>
      <c r="L39" s="4" t="n">
        <v>15000</v>
      </c>
      <c r="M39" s="4" t="n">
        <v>15000</v>
      </c>
      <c r="N39" s="5">
        <f>SUM(K39:M39)</f>
        <v/>
      </c>
      <c r="O39" s="6" t="inlineStr">
        <is>
          <t>SIEM, vulnerability scanner</t>
        </is>
      </c>
    </row>
    <row r="40">
      <c r="A40" s="7" t="inlineStr">
        <is>
          <t>SUBTOTAL</t>
        </is>
      </c>
      <c r="B40" s="3" t="inlineStr"/>
      <c r="C40" s="5">
        <f>SUM(C2:C39)</f>
        <v/>
      </c>
      <c r="D40" s="5">
        <f>SUM(D2:D39)</f>
        <v/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  <c r="I40" s="5">
        <f>SUM(I2:I39)</f>
        <v/>
      </c>
      <c r="J40" s="5">
        <f>SUM(J2:J39)</f>
        <v/>
      </c>
      <c r="K40" s="5">
        <f>SUM(K2:K39)</f>
        <v/>
      </c>
      <c r="L40" s="5">
        <f>SUM(L2:L39)</f>
        <v/>
      </c>
      <c r="M40" s="5">
        <f>SUM(M2:M39)</f>
        <v/>
      </c>
      <c r="N40" s="5">
        <f>SUM(N2:N39)</f>
        <v/>
      </c>
    </row>
    <row r="41">
      <c r="A41" s="3" t="inlineStr">
        <is>
          <t>Contingency</t>
        </is>
      </c>
      <c r="B41" s="3" t="inlineStr">
        <is>
          <t>15% of Subtotal</t>
        </is>
      </c>
      <c r="C41" s="5">
        <f>0.15*C40</f>
        <v/>
      </c>
      <c r="D41" s="5">
        <f>0.15*D40</f>
        <v/>
      </c>
      <c r="E41" s="5">
        <f>0.15*E40</f>
        <v/>
      </c>
      <c r="F41" s="5">
        <f>0.15*F40</f>
        <v/>
      </c>
      <c r="G41" s="5">
        <f>0.15*G40</f>
        <v/>
      </c>
      <c r="H41" s="5">
        <f>0.15*H40</f>
        <v/>
      </c>
      <c r="I41" s="5">
        <f>0.15*I40</f>
        <v/>
      </c>
      <c r="J41" s="5">
        <f>0.15*J40</f>
        <v/>
      </c>
      <c r="K41" s="5">
        <f>0.15*K40</f>
        <v/>
      </c>
      <c r="L41" s="5">
        <f>0.15*L40</f>
        <v/>
      </c>
      <c r="M41" s="5">
        <f>0.15*M40</f>
        <v/>
      </c>
      <c r="N41" s="5">
        <f>0.15*N40</f>
        <v/>
      </c>
      <c r="O41" s="3" t="inlineStr">
        <is>
          <t>Standard 15% contingency reserve</t>
        </is>
      </c>
    </row>
    <row r="42">
      <c r="A42" s="8" t="inlineStr">
        <is>
          <t>GRAND TOTAL</t>
        </is>
      </c>
      <c r="B42" s="8" t="inlineStr">
        <is>
          <t>3-Year TCO</t>
        </is>
      </c>
      <c r="C42" s="9">
        <f>C40+C41</f>
        <v/>
      </c>
      <c r="D42" s="9">
        <f>D40+D41</f>
        <v/>
      </c>
      <c r="E42" s="9">
        <f>E40+E41</f>
        <v/>
      </c>
      <c r="F42" s="9">
        <f>F40+F41</f>
        <v/>
      </c>
      <c r="G42" s="9">
        <f>G40+G41</f>
        <v/>
      </c>
      <c r="H42" s="9">
        <f>H40+H41</f>
        <v/>
      </c>
      <c r="I42" s="9">
        <f>I40+I41</f>
        <v/>
      </c>
      <c r="J42" s="9">
        <f>J40+J41</f>
        <v/>
      </c>
      <c r="K42" s="9">
        <f>K40+K41</f>
        <v/>
      </c>
      <c r="L42" s="9">
        <f>L40+L41</f>
        <v/>
      </c>
      <c r="M42" s="9">
        <f>M40+M41</f>
        <v/>
      </c>
      <c r="N42" s="9">
        <f>N40+N41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Quote_ID</t>
        </is>
      </c>
      <c r="B1" t="inlineStr">
        <is>
          <t>Quote_Date</t>
        </is>
      </c>
      <c r="C1" t="inlineStr">
        <is>
          <t>Vendor</t>
        </is>
      </c>
      <c r="D1" t="inlineStr">
        <is>
          <t>Category</t>
        </is>
      </c>
      <c r="E1" t="inlineStr">
        <is>
          <t>Service_Item</t>
        </is>
      </c>
      <c r="F1" t="inlineStr">
        <is>
          <t>Unit_Price_Quoted</t>
        </is>
      </c>
      <c r="G1" t="inlineStr">
        <is>
          <t>Volume_Discount_Pct</t>
        </is>
      </c>
      <c r="H1" t="inlineStr">
        <is>
          <t>Term_Length_Months</t>
        </is>
      </c>
      <c r="I1" t="inlineStr">
        <is>
          <t>Effective_Date</t>
        </is>
      </c>
      <c r="J1" t="inlineStr">
        <is>
          <t>Expiry_Date</t>
        </is>
      </c>
      <c r="K1" t="inlineStr">
        <is>
          <t>Currency</t>
        </is>
      </c>
      <c r="L1" t="inlineStr">
        <is>
          <t>Quote_Status</t>
        </is>
      </c>
      <c r="M1" t="inlineStr">
        <is>
          <t>Negotiation_Round</t>
        </is>
      </c>
      <c r="N1" t="inlineStr">
        <is>
          <t>Account_Manager</t>
        </is>
      </c>
      <c r="O1" t="inlineStr">
        <is>
          <t>Internal_Reviewer</t>
        </is>
      </c>
      <c r="P1" t="inlineStr">
        <is>
          <t>Market_Reference_Price</t>
        </is>
      </c>
      <c r="Q1" t="inlineStr">
        <is>
          <t>Variance_Pct</t>
        </is>
      </c>
      <c r="R1" t="inlineStr">
        <is>
          <t>Notes</t>
        </is>
      </c>
      <c r="S1" t="inlineStr">
        <is>
          <t>RFP_Ref</t>
        </is>
      </c>
      <c r="T1" t="inlineStr">
        <is>
          <t>Approval_Status</t>
        </is>
      </c>
      <c r="U1" t="inlineStr">
        <is>
          <t>Region</t>
        </is>
      </c>
      <c r="V1" t="inlineStr">
        <is>
          <t>Data_Center_Site</t>
        </is>
      </c>
      <c r="W1" t="inlineStr">
        <is>
          <t>Power_Density_Offered</t>
        </is>
      </c>
      <c r="X1" t="inlineStr">
        <is>
          <t>SLA_Tier</t>
        </is>
      </c>
      <c r="Y1" t="inlineStr">
        <is>
          <t>Contract_Type</t>
        </is>
      </c>
      <c r="Z1" t="inlineStr">
        <is>
          <t>Early_Term_Fee_Pct</t>
        </is>
      </c>
      <c r="AA1" t="inlineStr">
        <is>
          <t>Support_Hours</t>
        </is>
      </c>
      <c r="AB1" t="inlineStr">
        <is>
          <t>Escalation_Path</t>
        </is>
      </c>
      <c r="AC1" t="inlineStr">
        <is>
          <t>Compliance_Certs_Offered</t>
        </is>
      </c>
      <c r="AD1" t="inlineStr">
        <is>
          <t>Last_Updated</t>
        </is>
      </c>
    </row>
    <row r="2">
      <c r="A2" t="inlineStr">
        <is>
          <t>QT-00084</t>
        </is>
      </c>
      <c r="B2" t="inlineStr">
        <is>
          <t>2024-02-17</t>
        </is>
      </c>
      <c r="C2" t="inlineStr">
        <is>
          <t>Vertex Colocation</t>
        </is>
      </c>
      <c r="D2" t="inlineStr">
        <is>
          <t>Professional Services</t>
        </is>
      </c>
      <c r="E2" t="inlineStr">
        <is>
          <t>Firewall</t>
        </is>
      </c>
      <c r="F2" t="n">
        <v>9724.99</v>
      </c>
      <c r="G2" t="n">
        <v>15.4</v>
      </c>
      <c r="H2" t="n">
        <v>24</v>
      </c>
      <c r="I2" t="inlineStr">
        <is>
          <t>2024-03-18</t>
        </is>
      </c>
      <c r="J2" t="inlineStr">
        <is>
          <t>2026-03-08</t>
        </is>
      </c>
      <c r="K2" t="inlineStr">
        <is>
          <t>EUR</t>
        </is>
      </c>
      <c r="L2" t="inlineStr">
        <is>
          <t>Accepted</t>
        </is>
      </c>
      <c r="M2" t="n">
        <v>3</v>
      </c>
      <c r="N2" t="inlineStr">
        <is>
          <t>M.Foster</t>
        </is>
      </c>
      <c r="O2" t="inlineStr">
        <is>
          <t>J.Martinez</t>
        </is>
      </c>
      <c r="P2" t="n">
        <v>12272.52</v>
      </c>
      <c r="Q2" t="n">
        <v>11.7</v>
      </c>
      <c r="R2" t="inlineStr">
        <is>
          <t>Round 3 quote for Firewall</t>
        </is>
      </c>
      <c r="S2" t="inlineStr">
        <is>
          <t>RFP-DC-2025-125</t>
        </is>
      </c>
      <c r="T2" t="inlineStr">
        <is>
          <t>Pending</t>
        </is>
      </c>
      <c r="U2" t="inlineStr">
        <is>
          <t>US-East</t>
        </is>
      </c>
      <c r="V2" t="inlineStr">
        <is>
          <t>STM</t>
        </is>
      </c>
      <c r="W2" t="inlineStr">
        <is>
          <t>5 kW/rack</t>
        </is>
      </c>
      <c r="X2" t="inlineStr">
        <is>
          <t>Standard</t>
        </is>
      </c>
      <c r="Y2" t="inlineStr">
        <is>
          <t>12-Month</t>
        </is>
      </c>
      <c r="Z2" t="n">
        <v>26.4</v>
      </c>
      <c r="AA2" t="inlineStr">
        <is>
          <t>24x7</t>
        </is>
      </c>
      <c r="AB2" t="inlineStr">
        <is>
          <t>L4</t>
        </is>
      </c>
      <c r="AC2" t="inlineStr">
        <is>
          <t>SOC2, ISO27001</t>
        </is>
      </c>
      <c r="AD2" t="inlineStr">
        <is>
          <t>2024-04-11</t>
        </is>
      </c>
    </row>
    <row r="3">
      <c r="A3" t="inlineStr">
        <is>
          <t>QT-00105</t>
        </is>
      </c>
      <c r="B3" t="inlineStr">
        <is>
          <t>2025-03-22</t>
        </is>
      </c>
      <c r="C3" t="inlineStr">
        <is>
          <t>CloudMatrix Global</t>
        </is>
      </c>
      <c r="D3" t="inlineStr">
        <is>
          <t>Migration</t>
        </is>
      </c>
      <c r="E3" t="inlineStr">
        <is>
          <t>Object Storage</t>
        </is>
      </c>
      <c r="F3" t="n">
        <v>392.79</v>
      </c>
      <c r="G3" t="n">
        <v>0.9</v>
      </c>
      <c r="H3" t="n">
        <v>12</v>
      </c>
      <c r="I3" t="inlineStr">
        <is>
          <t>2025-04-21</t>
        </is>
      </c>
      <c r="J3" t="inlineStr">
        <is>
          <t>2026-04-16</t>
        </is>
      </c>
      <c r="K3" t="inlineStr">
        <is>
          <t>EUR</t>
        </is>
      </c>
      <c r="L3" t="inlineStr">
        <is>
          <t>Superseded</t>
        </is>
      </c>
      <c r="M3" t="n">
        <v>3</v>
      </c>
      <c r="N3" t="inlineStr">
        <is>
          <t>D.Rivera</t>
        </is>
      </c>
      <c r="O3" t="inlineStr">
        <is>
          <t>L.Davis</t>
        </is>
      </c>
      <c r="P3" t="n">
        <v>413.34</v>
      </c>
      <c r="Q3" t="n">
        <v>19.7</v>
      </c>
      <c r="R3" t="inlineStr">
        <is>
          <t>Round 4 quote for Object Storage</t>
        </is>
      </c>
      <c r="S3" t="inlineStr">
        <is>
          <t>RFP-DC-2024-573</t>
        </is>
      </c>
      <c r="T3" t="inlineStr">
        <is>
          <t>Approved</t>
        </is>
      </c>
      <c r="U3" t="inlineStr">
        <is>
          <t>US-East</t>
        </is>
      </c>
      <c r="V3" t="inlineStr">
        <is>
          <t>Secondary</t>
        </is>
      </c>
      <c r="W3" t="inlineStr">
        <is>
          <t>8 kW/rack</t>
        </is>
      </c>
      <c r="X3" t="inlineStr">
        <is>
          <t>Enterprise</t>
        </is>
      </c>
      <c r="Y3" t="inlineStr">
        <is>
          <t>Month-to-Month</t>
        </is>
      </c>
      <c r="Z3" t="n">
        <v>34.5</v>
      </c>
      <c r="AA3" t="inlineStr">
        <is>
          <t>12x5</t>
        </is>
      </c>
      <c r="AB3" t="inlineStr">
        <is>
          <t>L1</t>
        </is>
      </c>
      <c r="AC3" t="inlineStr">
        <is>
          <t>ISO27001, PCI-DSS</t>
        </is>
      </c>
      <c r="AD3" t="inlineStr">
        <is>
          <t>2025-04-23</t>
        </is>
      </c>
    </row>
    <row r="4">
      <c r="A4" t="inlineStr">
        <is>
          <t>QT-00111</t>
        </is>
      </c>
      <c r="B4" t="inlineStr">
        <is>
          <t>2025-02-03</t>
        </is>
      </c>
      <c r="C4" t="inlineStr">
        <is>
          <t>CloudMatrix Global</t>
        </is>
      </c>
      <c r="D4" t="inlineStr">
        <is>
          <t>Professional Services</t>
        </is>
      </c>
      <c r="E4" t="inlineStr">
        <is>
          <t>Block Storage</t>
        </is>
      </c>
      <c r="F4" t="n">
        <v>14207.61</v>
      </c>
      <c r="G4" t="n">
        <v>4.2</v>
      </c>
      <c r="H4" t="n">
        <v>12</v>
      </c>
      <c r="I4" t="inlineStr">
        <is>
          <t>2025-03-05</t>
        </is>
      </c>
      <c r="J4" t="inlineStr">
        <is>
          <t>2026-02-28</t>
        </is>
      </c>
      <c r="K4" t="inlineStr">
        <is>
          <t>EUR</t>
        </is>
      </c>
      <c r="L4" t="inlineStr">
        <is>
          <t>Superseded</t>
        </is>
      </c>
      <c r="M4" t="n">
        <v>2</v>
      </c>
      <c r="N4" t="inlineStr">
        <is>
          <t>D.Rivera</t>
        </is>
      </c>
      <c r="O4" t="inlineStr">
        <is>
          <t>L.Davis</t>
        </is>
      </c>
      <c r="P4" t="n">
        <v>18413.42</v>
      </c>
      <c r="Q4" t="n">
        <v>-9.1</v>
      </c>
      <c r="R4" t="inlineStr">
        <is>
          <t>Round 5 quote for Block Storage</t>
        </is>
      </c>
      <c r="S4" t="inlineStr">
        <is>
          <t>RFP-DC-2025-176</t>
        </is>
      </c>
      <c r="T4" t="inlineStr">
        <is>
          <t>Rejected</t>
        </is>
      </c>
      <c r="U4" t="inlineStr">
        <is>
          <t>US-Northeast</t>
        </is>
      </c>
      <c r="V4" t="inlineStr">
        <is>
          <t>NWK</t>
        </is>
      </c>
      <c r="W4" t="inlineStr">
        <is>
          <t>5 kW/rack</t>
        </is>
      </c>
      <c r="X4" t="inlineStr">
        <is>
          <t>Enterprise</t>
        </is>
      </c>
      <c r="Y4" t="inlineStr">
        <is>
          <t>24-Month</t>
        </is>
      </c>
      <c r="Z4" t="n">
        <v>15.6</v>
      </c>
      <c r="AA4" t="inlineStr">
        <is>
          <t>12x5</t>
        </is>
      </c>
      <c r="AB4" t="inlineStr">
        <is>
          <t>L2</t>
        </is>
      </c>
      <c r="AC4" t="inlineStr">
        <is>
          <t>SOC2, PCI-DSS, ISO27001</t>
        </is>
      </c>
      <c r="AD4" t="inlineStr">
        <is>
          <t>2025-04-02</t>
        </is>
      </c>
    </row>
    <row r="5">
      <c r="A5" t="inlineStr">
        <is>
          <t>QT-00345</t>
        </is>
      </c>
      <c r="B5" t="inlineStr">
        <is>
          <t>2024-08-26</t>
        </is>
      </c>
      <c r="C5" t="inlineStr">
        <is>
          <t>NovaBridge Solutions</t>
        </is>
      </c>
      <c r="D5" t="inlineStr">
        <is>
          <t>Security</t>
        </is>
      </c>
      <c r="E5" t="inlineStr">
        <is>
          <t>Power (kW)</t>
        </is>
      </c>
      <c r="F5" t="n">
        <v>791.7</v>
      </c>
      <c r="G5" t="n">
        <v>1.6</v>
      </c>
      <c r="H5" t="n">
        <v>36</v>
      </c>
      <c r="I5" t="inlineStr">
        <is>
          <t>2024-09-25</t>
        </is>
      </c>
      <c r="J5" t="inlineStr">
        <is>
          <t>2027-09-10</t>
        </is>
      </c>
      <c r="K5" t="inlineStr">
        <is>
          <t>EUR</t>
        </is>
      </c>
      <c r="L5" t="inlineStr">
        <is>
          <t>Counter-offered</t>
        </is>
      </c>
      <c r="M5" t="n">
        <v>1</v>
      </c>
      <c r="N5" t="inlineStr">
        <is>
          <t>J.Kim</t>
        </is>
      </c>
      <c r="O5" t="inlineStr">
        <is>
          <t>A.Patel</t>
        </is>
      </c>
      <c r="P5" t="n">
        <v>1009.15</v>
      </c>
      <c r="Q5" t="n">
        <v>-2.3</v>
      </c>
      <c r="R5" t="inlineStr">
        <is>
          <t>Round 3 quote for Power (kW)</t>
        </is>
      </c>
      <c r="S5" t="inlineStr">
        <is>
          <t>RFP-DC-2024-309</t>
        </is>
      </c>
      <c r="T5" t="inlineStr">
        <is>
          <t>Pending</t>
        </is>
      </c>
      <c r="U5" t="inlineStr">
        <is>
          <t>US-East</t>
        </is>
      </c>
      <c r="V5" t="inlineStr">
        <is>
          <t>Secondary</t>
        </is>
      </c>
      <c r="W5" t="inlineStr">
        <is>
          <t>8 kW/rack</t>
        </is>
      </c>
      <c r="X5" t="inlineStr">
        <is>
          <t>Enterprise</t>
        </is>
      </c>
      <c r="Y5" t="inlineStr">
        <is>
          <t>24-Month</t>
        </is>
      </c>
      <c r="Z5" t="n">
        <v>11.7</v>
      </c>
      <c r="AA5" t="inlineStr">
        <is>
          <t>8x5</t>
        </is>
      </c>
      <c r="AB5" t="inlineStr">
        <is>
          <t>L3</t>
        </is>
      </c>
      <c r="AC5" t="inlineStr">
        <is>
          <t>ISO27001, PCI-DSS</t>
        </is>
      </c>
      <c r="AD5" t="inlineStr">
        <is>
          <t>2024-09-11</t>
        </is>
      </c>
    </row>
    <row r="6">
      <c r="A6" t="inlineStr">
        <is>
          <t>QT-00359</t>
        </is>
      </c>
      <c r="B6" t="inlineStr">
        <is>
          <t>2024-03-07</t>
        </is>
      </c>
      <c r="C6" t="inlineStr">
        <is>
          <t>CloudMatrix Global</t>
        </is>
      </c>
      <c r="D6" t="inlineStr">
        <is>
          <t>Security</t>
        </is>
      </c>
      <c r="E6" t="inlineStr">
        <is>
          <t>Object Storage</t>
        </is>
      </c>
      <c r="F6" t="n">
        <v>8618.77</v>
      </c>
      <c r="G6" t="n">
        <v>18.3</v>
      </c>
      <c r="H6" t="n">
        <v>12</v>
      </c>
      <c r="I6" t="inlineStr">
        <is>
          <t>2024-04-06</t>
        </is>
      </c>
      <c r="J6" t="inlineStr">
        <is>
          <t>2025-04-01</t>
        </is>
      </c>
      <c r="K6" t="inlineStr">
        <is>
          <t>EUR</t>
        </is>
      </c>
      <c r="L6" t="inlineStr">
        <is>
          <t>Expired</t>
        </is>
      </c>
      <c r="M6" t="n">
        <v>1</v>
      </c>
      <c r="N6" t="inlineStr">
        <is>
          <t>M.Foster</t>
        </is>
      </c>
      <c r="O6" t="inlineStr">
        <is>
          <t>L.Davis</t>
        </is>
      </c>
      <c r="P6" t="n">
        <v>10356.96</v>
      </c>
      <c r="Q6" t="n">
        <v>-28.2</v>
      </c>
      <c r="R6" t="inlineStr">
        <is>
          <t>Round 3 quote for Object Storage</t>
        </is>
      </c>
      <c r="S6" t="inlineStr">
        <is>
          <t>RFP-DC-2024-649</t>
        </is>
      </c>
      <c r="T6" t="inlineStr">
        <is>
          <t>Pending</t>
        </is>
      </c>
      <c r="U6" t="inlineStr">
        <is>
          <t>US-East</t>
        </is>
      </c>
      <c r="V6" t="inlineStr">
        <is>
          <t>Primary</t>
        </is>
      </c>
      <c r="W6" t="inlineStr">
        <is>
          <t>20 kW/rack</t>
        </is>
      </c>
      <c r="X6" t="inlineStr">
        <is>
          <t>Premium</t>
        </is>
      </c>
      <c r="Y6" t="inlineStr">
        <is>
          <t>36-Month</t>
        </is>
      </c>
      <c r="Z6" t="n">
        <v>32.7</v>
      </c>
      <c r="AA6" t="inlineStr">
        <is>
          <t>12x5</t>
        </is>
      </c>
      <c r="AB6" t="inlineStr">
        <is>
          <t>L2</t>
        </is>
      </c>
      <c r="AC6" t="inlineStr">
        <is>
          <t>SOC2, ISO27001</t>
        </is>
      </c>
      <c r="AD6" t="inlineStr">
        <is>
          <t>2024-03-26</t>
        </is>
      </c>
    </row>
    <row r="7">
      <c r="A7" t="inlineStr">
        <is>
          <t>QT-00380</t>
        </is>
      </c>
      <c r="B7" t="inlineStr">
        <is>
          <t>2024-12-14</t>
        </is>
      </c>
      <c r="C7" t="inlineStr">
        <is>
          <t>Vertex Colocation</t>
        </is>
      </c>
      <c r="D7" t="inlineStr">
        <is>
          <t>Cloud IaaS</t>
        </is>
      </c>
      <c r="E7" t="inlineStr">
        <is>
          <t>Migration Planning</t>
        </is>
      </c>
      <c r="F7" t="n">
        <v>14102.92</v>
      </c>
      <c r="G7" t="n">
        <v>23.1</v>
      </c>
      <c r="H7" t="n">
        <v>36</v>
      </c>
      <c r="I7" t="inlineStr">
        <is>
          <t>2025-01-13</t>
        </is>
      </c>
      <c r="J7" t="inlineStr">
        <is>
          <t>2027-12-29</t>
        </is>
      </c>
      <c r="K7" t="inlineStr">
        <is>
          <t>EUR</t>
        </is>
      </c>
      <c r="L7" t="inlineStr">
        <is>
          <t>Accepted</t>
        </is>
      </c>
      <c r="M7" t="n">
        <v>3</v>
      </c>
      <c r="N7" t="inlineStr">
        <is>
          <t>D.Rivera</t>
        </is>
      </c>
      <c r="O7" t="inlineStr">
        <is>
          <t>J.Martinez</t>
        </is>
      </c>
      <c r="P7" t="n">
        <v>16843.16</v>
      </c>
      <c r="Q7" t="n">
        <v>21</v>
      </c>
      <c r="R7" t="inlineStr">
        <is>
          <t>Round 1 quote for Migration Planning</t>
        </is>
      </c>
      <c r="S7" t="inlineStr">
        <is>
          <t>RFP-DC-2024-138</t>
        </is>
      </c>
      <c r="T7" t="inlineStr">
        <is>
          <t>Rejected</t>
        </is>
      </c>
      <c r="U7" t="inlineStr">
        <is>
          <t>US-Northeast</t>
        </is>
      </c>
      <c r="V7" t="inlineStr">
        <is>
          <t>Secondary</t>
        </is>
      </c>
      <c r="W7" t="inlineStr">
        <is>
          <t>15 kW/rack</t>
        </is>
      </c>
      <c r="X7" t="inlineStr">
        <is>
          <t>Enterprise</t>
        </is>
      </c>
      <c r="Y7" t="inlineStr">
        <is>
          <t>Month-to-Month</t>
        </is>
      </c>
      <c r="Z7" t="n">
        <v>30.1</v>
      </c>
      <c r="AA7" t="inlineStr">
        <is>
          <t>24x7</t>
        </is>
      </c>
      <c r="AB7" t="inlineStr">
        <is>
          <t>L4</t>
        </is>
      </c>
      <c r="AC7" t="inlineStr">
        <is>
          <t>SOC2, PCI-DSS, ISO27001</t>
        </is>
      </c>
      <c r="AD7" t="inlineStr">
        <is>
          <t>2025-01-05</t>
        </is>
      </c>
    </row>
    <row r="8">
      <c r="A8" t="inlineStr">
        <is>
          <t>QT-00431</t>
        </is>
      </c>
      <c r="B8" t="inlineStr">
        <is>
          <t>2024-06-15</t>
        </is>
      </c>
      <c r="C8" t="inlineStr">
        <is>
          <t>NovaBridge Solutions</t>
        </is>
      </c>
      <c r="D8" t="inlineStr">
        <is>
          <t>Cloud IaaS</t>
        </is>
      </c>
      <c r="E8" t="inlineStr">
        <is>
          <t>Backup</t>
        </is>
      </c>
      <c r="F8" t="n">
        <v>12541.92</v>
      </c>
      <c r="G8" t="n">
        <v>12</v>
      </c>
      <c r="H8" t="n">
        <v>36</v>
      </c>
      <c r="I8" t="inlineStr">
        <is>
          <t>2024-07-15</t>
        </is>
      </c>
      <c r="J8" t="inlineStr">
        <is>
          <t>2027-06-30</t>
        </is>
      </c>
      <c r="K8" t="inlineStr">
        <is>
          <t>EUR</t>
        </is>
      </c>
      <c r="L8" t="inlineStr">
        <is>
          <t>Withdrawn</t>
        </is>
      </c>
      <c r="M8" t="n">
        <v>5</v>
      </c>
      <c r="N8" t="inlineStr">
        <is>
          <t>M.Foster</t>
        </is>
      </c>
      <c r="O8" t="inlineStr">
        <is>
          <t>J.Martinez</t>
        </is>
      </c>
      <c r="P8" t="n">
        <v>15284.74</v>
      </c>
      <c r="Q8" t="n">
        <v>-12.7</v>
      </c>
      <c r="R8" t="inlineStr">
        <is>
          <t>Round 2 quote for Backup</t>
        </is>
      </c>
      <c r="S8" t="inlineStr">
        <is>
          <t>RFP-DC-2025-266</t>
        </is>
      </c>
      <c r="T8" t="inlineStr">
        <is>
          <t>Pending</t>
        </is>
      </c>
      <c r="U8" t="inlineStr">
        <is>
          <t>US-Northeast</t>
        </is>
      </c>
      <c r="V8" t="inlineStr">
        <is>
          <t>Secondary</t>
        </is>
      </c>
      <c r="W8" t="inlineStr">
        <is>
          <t>15 kW/rack</t>
        </is>
      </c>
      <c r="X8" t="inlineStr">
        <is>
          <t>Standard</t>
        </is>
      </c>
      <c r="Y8" t="inlineStr">
        <is>
          <t>Month-to-Month</t>
        </is>
      </c>
      <c r="Z8" t="n">
        <v>12.2</v>
      </c>
      <c r="AA8" t="inlineStr">
        <is>
          <t>24x7</t>
        </is>
      </c>
      <c r="AB8" t="inlineStr">
        <is>
          <t>L1</t>
        </is>
      </c>
      <c r="AC8" t="inlineStr">
        <is>
          <t>SOC2, ISO27001</t>
        </is>
      </c>
      <c r="AD8" t="inlineStr">
        <is>
          <t>2024-07-03</t>
        </is>
      </c>
    </row>
    <row r="9">
      <c r="A9" t="inlineStr">
        <is>
          <t>QT-00540</t>
        </is>
      </c>
      <c r="B9" t="inlineStr">
        <is>
          <t>2024-01-15</t>
        </is>
      </c>
      <c r="C9" t="inlineStr">
        <is>
          <t>CloudMatrix Global</t>
        </is>
      </c>
      <c r="D9" t="inlineStr">
        <is>
          <t>Professional Services</t>
        </is>
      </c>
      <c r="E9" t="inlineStr">
        <is>
          <t>Rack Space</t>
        </is>
      </c>
      <c r="F9" t="n">
        <v>2382.82</v>
      </c>
      <c r="G9" t="n">
        <v>16.9</v>
      </c>
      <c r="H9" t="n">
        <v>12</v>
      </c>
      <c r="I9" t="inlineStr">
        <is>
          <t>2024-02-14</t>
        </is>
      </c>
      <c r="J9" t="inlineStr">
        <is>
          <t>2025-02-08</t>
        </is>
      </c>
      <c r="K9" t="inlineStr">
        <is>
          <t>EUR</t>
        </is>
      </c>
      <c r="L9" t="inlineStr">
        <is>
          <t>Accepted</t>
        </is>
      </c>
      <c r="M9" t="n">
        <v>3</v>
      </c>
      <c r="N9" t="inlineStr">
        <is>
          <t>J.Kim</t>
        </is>
      </c>
      <c r="O9" t="inlineStr">
        <is>
          <t>K.Anderson</t>
        </is>
      </c>
      <c r="P9" t="n">
        <v>2241.28</v>
      </c>
      <c r="Q9" t="n">
        <v>20.7</v>
      </c>
      <c r="R9" t="inlineStr">
        <is>
          <t>Round 2 quote for Rack Space</t>
        </is>
      </c>
      <c r="S9" t="inlineStr">
        <is>
          <t>RFP-DC-2024-818</t>
        </is>
      </c>
      <c r="T9" t="inlineStr">
        <is>
          <t>Rejected</t>
        </is>
      </c>
      <c r="U9" t="inlineStr">
        <is>
          <t>US-Northeast</t>
        </is>
      </c>
      <c r="V9" t="inlineStr">
        <is>
          <t>NWK</t>
        </is>
      </c>
      <c r="W9" t="inlineStr">
        <is>
          <t>10 kW/rack</t>
        </is>
      </c>
      <c r="X9" t="inlineStr">
        <is>
          <t>Standard</t>
        </is>
      </c>
      <c r="Y9" t="inlineStr">
        <is>
          <t>36-Month</t>
        </is>
      </c>
      <c r="Z9" t="n">
        <v>22.7</v>
      </c>
      <c r="AA9" t="inlineStr">
        <is>
          <t>12x5</t>
        </is>
      </c>
      <c r="AB9" t="inlineStr">
        <is>
          <t>L3</t>
        </is>
      </c>
      <c r="AC9" t="inlineStr">
        <is>
          <t>SOC2, PCI-DSS, ISO27001</t>
        </is>
      </c>
      <c r="AD9" t="inlineStr">
        <is>
          <t>2024-01-17</t>
        </is>
      </c>
    </row>
    <row r="10">
      <c r="A10" t="inlineStr">
        <is>
          <t>QT-00822</t>
        </is>
      </c>
      <c r="B10" t="inlineStr">
        <is>
          <t>2024-06-07</t>
        </is>
      </c>
      <c r="C10" t="inlineStr">
        <is>
          <t>NovaBridge Solutions</t>
        </is>
      </c>
      <c r="D10" t="inlineStr">
        <is>
          <t>Storage</t>
        </is>
      </c>
      <c r="E10" t="inlineStr">
        <is>
          <t>Firewall</t>
        </is>
      </c>
      <c r="F10" t="n">
        <v>10775.22</v>
      </c>
      <c r="G10" t="n">
        <v>2.7</v>
      </c>
      <c r="H10" t="n">
        <v>24</v>
      </c>
      <c r="I10" t="inlineStr">
        <is>
          <t>2024-07-07</t>
        </is>
      </c>
      <c r="J10" t="inlineStr">
        <is>
          <t>2026-06-27</t>
        </is>
      </c>
      <c r="K10" t="inlineStr">
        <is>
          <t>EUR</t>
        </is>
      </c>
      <c r="L10" t="inlineStr">
        <is>
          <t>Accepted</t>
        </is>
      </c>
      <c r="M10" t="n">
        <v>3</v>
      </c>
      <c r="N10" t="inlineStr">
        <is>
          <t>M.Foster</t>
        </is>
      </c>
      <c r="O10" t="inlineStr">
        <is>
          <t>A.Patel</t>
        </is>
      </c>
      <c r="P10" t="n">
        <v>9438.66</v>
      </c>
      <c r="Q10" t="n">
        <v>-26.1</v>
      </c>
      <c r="R10" t="inlineStr">
        <is>
          <t>Round 1 quote for Firewall</t>
        </is>
      </c>
      <c r="S10" t="inlineStr">
        <is>
          <t>RFP-DC-2024-912</t>
        </is>
      </c>
      <c r="T10" t="inlineStr">
        <is>
          <t>Approved</t>
        </is>
      </c>
      <c r="U10" t="inlineStr">
        <is>
          <t>US-East</t>
        </is>
      </c>
      <c r="V10" t="inlineStr">
        <is>
          <t>STM</t>
        </is>
      </c>
      <c r="W10" t="inlineStr">
        <is>
          <t>10 kW/rack</t>
        </is>
      </c>
      <c r="X10" t="inlineStr">
        <is>
          <t>Standard</t>
        </is>
      </c>
      <c r="Y10" t="inlineStr">
        <is>
          <t>24-Month</t>
        </is>
      </c>
      <c r="Z10" t="n">
        <v>36.6</v>
      </c>
      <c r="AA10" t="inlineStr">
        <is>
          <t>12x5</t>
        </is>
      </c>
      <c r="AB10" t="inlineStr">
        <is>
          <t>L2</t>
        </is>
      </c>
      <c r="AC10" t="inlineStr">
        <is>
          <t>SOC2</t>
        </is>
      </c>
      <c r="AD10" t="inlineStr">
        <is>
          <t>2024-06-24</t>
        </is>
      </c>
    </row>
    <row r="11">
      <c r="A11" t="inlineStr">
        <is>
          <t>QT-00845</t>
        </is>
      </c>
      <c r="B11" t="inlineStr">
        <is>
          <t>2024-04-12</t>
        </is>
      </c>
      <c r="C11" t="inlineStr">
        <is>
          <t>CloudMatrix Global</t>
        </is>
      </c>
      <c r="D11" t="inlineStr">
        <is>
          <t>Managed Services</t>
        </is>
      </c>
      <c r="E11" t="inlineStr">
        <is>
          <t>Rack Space</t>
        </is>
      </c>
      <c r="F11" t="n">
        <v>5748.64</v>
      </c>
      <c r="G11" t="n">
        <v>17.7</v>
      </c>
      <c r="H11" t="n">
        <v>12</v>
      </c>
      <c r="I11" t="inlineStr">
        <is>
          <t>2024-05-12</t>
        </is>
      </c>
      <c r="J11" t="inlineStr">
        <is>
          <t>2025-05-07</t>
        </is>
      </c>
      <c r="K11" t="inlineStr">
        <is>
          <t>EUR</t>
        </is>
      </c>
      <c r="L11" t="inlineStr">
        <is>
          <t>Superseded</t>
        </is>
      </c>
      <c r="M11" t="n">
        <v>5</v>
      </c>
      <c r="N11" t="inlineStr">
        <is>
          <t>M.Foster</t>
        </is>
      </c>
      <c r="O11" t="inlineStr">
        <is>
          <t>L.Davis</t>
        </is>
      </c>
      <c r="P11" t="n">
        <v>6855.96</v>
      </c>
      <c r="Q11" t="n">
        <v>-14.4</v>
      </c>
      <c r="R11" t="inlineStr">
        <is>
          <t>Round 2 quote for Rack Space</t>
        </is>
      </c>
      <c r="S11" t="inlineStr">
        <is>
          <t>RFP-DC-2024-746</t>
        </is>
      </c>
      <c r="T11" t="inlineStr">
        <is>
          <t>Approved</t>
        </is>
      </c>
      <c r="U11" t="inlineStr">
        <is>
          <t>US-East</t>
        </is>
      </c>
      <c r="V11" t="inlineStr">
        <is>
          <t>STM</t>
        </is>
      </c>
      <c r="W11" t="inlineStr">
        <is>
          <t>15 kW/rack</t>
        </is>
      </c>
      <c r="X11" t="inlineStr">
        <is>
          <t>Enterprise</t>
        </is>
      </c>
      <c r="Y11" t="inlineStr">
        <is>
          <t>Month-to-Month</t>
        </is>
      </c>
      <c r="Z11" t="n">
        <v>31.4</v>
      </c>
      <c r="AA11" t="inlineStr">
        <is>
          <t>8x5</t>
        </is>
      </c>
      <c r="AB11" t="inlineStr">
        <is>
          <t>L4</t>
        </is>
      </c>
      <c r="AC11" t="inlineStr">
        <is>
          <t>SOC2</t>
        </is>
      </c>
      <c r="AD11" t="inlineStr">
        <is>
          <t>2024-06-10</t>
        </is>
      </c>
    </row>
    <row r="12">
      <c r="A12" t="inlineStr">
        <is>
          <t>QT-00929</t>
        </is>
      </c>
      <c r="B12" t="inlineStr">
        <is>
          <t>2024-03-02</t>
        </is>
      </c>
      <c r="C12" t="inlineStr">
        <is>
          <t>NovaBridge Solutions</t>
        </is>
      </c>
      <c r="D12" t="inlineStr">
        <is>
          <t>Migration</t>
        </is>
      </c>
      <c r="E12" t="inlineStr">
        <is>
          <t>Post-Migration Support</t>
        </is>
      </c>
      <c r="F12" t="n">
        <v>13530.33</v>
      </c>
      <c r="G12" t="n">
        <v>12</v>
      </c>
      <c r="H12" t="n">
        <v>36</v>
      </c>
      <c r="I12" t="inlineStr">
        <is>
          <t>2024-04-01</t>
        </is>
      </c>
      <c r="J12" t="inlineStr">
        <is>
          <t>2027-03-17</t>
        </is>
      </c>
      <c r="K12" t="inlineStr">
        <is>
          <t>EUR</t>
        </is>
      </c>
      <c r="L12" t="inlineStr">
        <is>
          <t>Counter-offered</t>
        </is>
      </c>
      <c r="M12" t="n">
        <v>5</v>
      </c>
      <c r="N12" t="inlineStr">
        <is>
          <t>M.Foster</t>
        </is>
      </c>
      <c r="O12" t="inlineStr">
        <is>
          <t>S.Johnson</t>
        </is>
      </c>
      <c r="P12" t="n">
        <v>11747.13</v>
      </c>
      <c r="Q12" t="n">
        <v>-18.5</v>
      </c>
      <c r="R12" t="inlineStr">
        <is>
          <t>Round 5 quote for Post-Migration Support</t>
        </is>
      </c>
      <c r="S12" t="inlineStr">
        <is>
          <t>RFP-DC-2024-856</t>
        </is>
      </c>
      <c r="T12" t="inlineStr">
        <is>
          <t>Pending</t>
        </is>
      </c>
      <c r="U12" t="inlineStr">
        <is>
          <t>US-East</t>
        </is>
      </c>
      <c r="V12" t="inlineStr">
        <is>
          <t>NWK</t>
        </is>
      </c>
      <c r="W12" t="inlineStr">
        <is>
          <t>5 kW/rack</t>
        </is>
      </c>
      <c r="X12" t="inlineStr">
        <is>
          <t>Enterprise</t>
        </is>
      </c>
      <c r="Y12" t="inlineStr">
        <is>
          <t>36-Month</t>
        </is>
      </c>
      <c r="Z12" t="n">
        <v>44.4</v>
      </c>
      <c r="AA12" t="inlineStr">
        <is>
          <t>8x5</t>
        </is>
      </c>
      <c r="AB12" t="inlineStr">
        <is>
          <t>L1</t>
        </is>
      </c>
      <c r="AC12" t="inlineStr">
        <is>
          <t>SOC2, PCI-DSS, ISO27001</t>
        </is>
      </c>
      <c r="AD12" t="inlineStr">
        <is>
          <t>2024-04-27</t>
        </is>
      </c>
    </row>
    <row r="13">
      <c r="A13" t="inlineStr">
        <is>
          <t>QT-01040</t>
        </is>
      </c>
      <c r="B13" t="inlineStr">
        <is>
          <t>2024-07-25</t>
        </is>
      </c>
      <c r="C13" t="inlineStr">
        <is>
          <t>CloudMatrix Global</t>
        </is>
      </c>
      <c r="D13" t="inlineStr">
        <is>
          <t>Professional Services</t>
        </is>
      </c>
      <c r="E13" t="inlineStr">
        <is>
          <t>DDoS Protection</t>
        </is>
      </c>
      <c r="F13" t="n">
        <v>9680.18</v>
      </c>
      <c r="G13" t="n">
        <v>9</v>
      </c>
      <c r="H13" t="n">
        <v>36</v>
      </c>
      <c r="I13" t="inlineStr">
        <is>
          <t>2024-08-24</t>
        </is>
      </c>
      <c r="J13" t="inlineStr">
        <is>
          <t>2027-08-09</t>
        </is>
      </c>
      <c r="K13" t="inlineStr">
        <is>
          <t>EUR</t>
        </is>
      </c>
      <c r="L13" t="inlineStr">
        <is>
          <t>Expired</t>
        </is>
      </c>
      <c r="M13" t="n">
        <v>3</v>
      </c>
      <c r="N13" t="inlineStr">
        <is>
          <t>J.Kim</t>
        </is>
      </c>
      <c r="O13" t="inlineStr">
        <is>
          <t>M.Williams</t>
        </is>
      </c>
      <c r="P13" t="n">
        <v>11169.36</v>
      </c>
      <c r="Q13" t="n">
        <v>-3.2</v>
      </c>
      <c r="R13" t="inlineStr">
        <is>
          <t>Round 5 quote for DDoS Protection</t>
        </is>
      </c>
      <c r="S13" t="inlineStr">
        <is>
          <t>RFP-DC-2024-719</t>
        </is>
      </c>
      <c r="T13" t="inlineStr">
        <is>
          <t>Approved</t>
        </is>
      </c>
      <c r="U13" t="inlineStr">
        <is>
          <t>US-Northeast</t>
        </is>
      </c>
      <c r="V13" t="inlineStr">
        <is>
          <t>Secondary</t>
        </is>
      </c>
      <c r="W13" t="inlineStr">
        <is>
          <t>8 kW/rack</t>
        </is>
      </c>
      <c r="X13" t="inlineStr">
        <is>
          <t>Premium</t>
        </is>
      </c>
      <c r="Y13" t="inlineStr">
        <is>
          <t>36-Month</t>
        </is>
      </c>
      <c r="Z13" t="n">
        <v>14.8</v>
      </c>
      <c r="AA13" t="inlineStr">
        <is>
          <t>12x5</t>
        </is>
      </c>
      <c r="AB13" t="inlineStr">
        <is>
          <t>L4</t>
        </is>
      </c>
      <c r="AC13" t="inlineStr">
        <is>
          <t>SOC2, PCI-DSS, ISO27001</t>
        </is>
      </c>
      <c r="AD13" t="inlineStr">
        <is>
          <t>2024-08-16</t>
        </is>
      </c>
    </row>
    <row r="14">
      <c r="A14" t="inlineStr">
        <is>
          <t>QT-01632</t>
        </is>
      </c>
      <c r="B14" t="inlineStr">
        <is>
          <t>2024-10-30</t>
        </is>
      </c>
      <c r="C14" t="inlineStr">
        <is>
          <t>NovaBridge Solutions</t>
        </is>
      </c>
      <c r="D14" t="inlineStr">
        <is>
          <t>Storage</t>
        </is>
      </c>
      <c r="E14" t="inlineStr">
        <is>
          <t>Managed DB</t>
        </is>
      </c>
      <c r="F14" t="n">
        <v>6599.91</v>
      </c>
      <c r="G14" t="n">
        <v>16.8</v>
      </c>
      <c r="H14" t="n">
        <v>12</v>
      </c>
      <c r="I14" t="inlineStr">
        <is>
          <t>2024-11-29</t>
        </is>
      </c>
      <c r="J14" t="inlineStr">
        <is>
          <t>2025-11-24</t>
        </is>
      </c>
      <c r="K14" t="inlineStr">
        <is>
          <t>EUR</t>
        </is>
      </c>
      <c r="L14" t="inlineStr">
        <is>
          <t>Accepted</t>
        </is>
      </c>
      <c r="M14" t="n">
        <v>2</v>
      </c>
      <c r="N14" t="inlineStr">
        <is>
          <t>M.Foster</t>
        </is>
      </c>
      <c r="O14" t="inlineStr">
        <is>
          <t>R.Chen</t>
        </is>
      </c>
      <c r="P14" t="n">
        <v>7433.76</v>
      </c>
      <c r="Q14" t="n">
        <v>-7.3</v>
      </c>
      <c r="R14" t="inlineStr">
        <is>
          <t>Round 3 quote for Managed DB</t>
        </is>
      </c>
      <c r="S14" t="inlineStr">
        <is>
          <t>RFP-DC-2025-133</t>
        </is>
      </c>
      <c r="T14" t="inlineStr">
        <is>
          <t>Rejected</t>
        </is>
      </c>
      <c r="U14" t="inlineStr">
        <is>
          <t>US-Northeast</t>
        </is>
      </c>
      <c r="V14" t="inlineStr">
        <is>
          <t>NWK</t>
        </is>
      </c>
      <c r="W14" t="inlineStr">
        <is>
          <t>15 kW/rack</t>
        </is>
      </c>
      <c r="X14" t="inlineStr">
        <is>
          <t>Premium</t>
        </is>
      </c>
      <c r="Y14" t="inlineStr">
        <is>
          <t>12-Month</t>
        </is>
      </c>
      <c r="Z14" t="n">
        <v>44.3</v>
      </c>
      <c r="AA14" t="inlineStr">
        <is>
          <t>12x5</t>
        </is>
      </c>
      <c r="AB14" t="inlineStr">
        <is>
          <t>L2</t>
        </is>
      </c>
      <c r="AC14" t="inlineStr">
        <is>
          <t>ISO27001, PCI-DSS</t>
        </is>
      </c>
      <c r="AD14" t="inlineStr">
        <is>
          <t>2024-12-20</t>
        </is>
      </c>
    </row>
    <row r="15">
      <c r="A15" t="inlineStr">
        <is>
          <t>QT-02123</t>
        </is>
      </c>
      <c r="B15" t="inlineStr">
        <is>
          <t>2024-04-19</t>
        </is>
      </c>
      <c r="C15" t="inlineStr">
        <is>
          <t>Vertex Colocation</t>
        </is>
      </c>
      <c r="D15" t="inlineStr">
        <is>
          <t>Network</t>
        </is>
      </c>
      <c r="E15" t="inlineStr">
        <is>
          <t>Vulnerability Scan</t>
        </is>
      </c>
      <c r="F15" t="n">
        <v>11537.88</v>
      </c>
      <c r="G15" t="n">
        <v>1</v>
      </c>
      <c r="H15" t="n">
        <v>12</v>
      </c>
      <c r="I15" t="inlineStr">
        <is>
          <t>2024-05-19</t>
        </is>
      </c>
      <c r="J15" t="inlineStr">
        <is>
          <t>2025-05-14</t>
        </is>
      </c>
      <c r="K15" t="inlineStr">
        <is>
          <t>EUR</t>
        </is>
      </c>
      <c r="L15" t="inlineStr">
        <is>
          <t>Withdrawn</t>
        </is>
      </c>
      <c r="M15" t="n">
        <v>4</v>
      </c>
      <c r="N15" t="inlineStr">
        <is>
          <t>S.Clark</t>
        </is>
      </c>
      <c r="O15" t="inlineStr">
        <is>
          <t>P.Garcia</t>
        </is>
      </c>
      <c r="P15" t="n">
        <v>10526.02</v>
      </c>
      <c r="Q15" t="n">
        <v>18.1</v>
      </c>
      <c r="R15" t="inlineStr">
        <is>
          <t>Round 1 quote for Vulnerability Scan</t>
        </is>
      </c>
      <c r="S15" t="inlineStr">
        <is>
          <t>RFP-DC-2025-169</t>
        </is>
      </c>
      <c r="T15" t="inlineStr">
        <is>
          <t>Approved</t>
        </is>
      </c>
      <c r="U15" t="inlineStr">
        <is>
          <t>US-Northeast</t>
        </is>
      </c>
      <c r="V15" t="inlineStr">
        <is>
          <t>Primary</t>
        </is>
      </c>
      <c r="W15" t="inlineStr">
        <is>
          <t>5 kW/rack</t>
        </is>
      </c>
      <c r="X15" t="inlineStr">
        <is>
          <t>Standard</t>
        </is>
      </c>
      <c r="Y15" t="inlineStr">
        <is>
          <t>12-Month</t>
        </is>
      </c>
      <c r="Z15" t="n">
        <v>40.9</v>
      </c>
      <c r="AA15" t="inlineStr">
        <is>
          <t>12x5</t>
        </is>
      </c>
      <c r="AB15" t="inlineStr">
        <is>
          <t>L4</t>
        </is>
      </c>
      <c r="AC15" t="inlineStr">
        <is>
          <t>SOC2, ISO27001</t>
        </is>
      </c>
      <c r="AD15" t="inlineStr">
        <is>
          <t>2024-05-24</t>
        </is>
      </c>
    </row>
    <row r="16">
      <c r="A16" t="inlineStr">
        <is>
          <t>QT-02244</t>
        </is>
      </c>
      <c r="B16" t="inlineStr">
        <is>
          <t>2025-03-24</t>
        </is>
      </c>
      <c r="C16" t="inlineStr">
        <is>
          <t>NovaBridge Solutions</t>
        </is>
      </c>
      <c r="D16" t="inlineStr">
        <is>
          <t>Migration</t>
        </is>
      </c>
      <c r="E16" t="inlineStr">
        <is>
          <t>Compute Instance</t>
        </is>
      </c>
      <c r="F16" t="n">
        <v>1330.48</v>
      </c>
      <c r="G16" t="n">
        <v>6.7</v>
      </c>
      <c r="H16" t="n">
        <v>12</v>
      </c>
      <c r="I16" t="inlineStr">
        <is>
          <t>2025-04-23</t>
        </is>
      </c>
      <c r="J16" t="inlineStr">
        <is>
          <t>2026-04-18</t>
        </is>
      </c>
      <c r="K16" t="inlineStr">
        <is>
          <t>EUR</t>
        </is>
      </c>
      <c r="L16" t="inlineStr">
        <is>
          <t>Accepted</t>
        </is>
      </c>
      <c r="M16" t="n">
        <v>2</v>
      </c>
      <c r="N16" t="inlineStr">
        <is>
          <t>J.Kim</t>
        </is>
      </c>
      <c r="O16" t="inlineStr">
        <is>
          <t>K.Anderson</t>
        </is>
      </c>
      <c r="P16" t="n">
        <v>1088.13</v>
      </c>
      <c r="Q16" t="n">
        <v>15.1</v>
      </c>
      <c r="R16" t="inlineStr">
        <is>
          <t>Round 1 quote for Compute Instance</t>
        </is>
      </c>
      <c r="S16" t="inlineStr">
        <is>
          <t>RFP-DC-2025-159</t>
        </is>
      </c>
      <c r="T16" t="inlineStr">
        <is>
          <t>Pending</t>
        </is>
      </c>
      <c r="U16" t="inlineStr">
        <is>
          <t>US-East</t>
        </is>
      </c>
      <c r="V16" t="inlineStr">
        <is>
          <t>NWK</t>
        </is>
      </c>
      <c r="W16" t="inlineStr">
        <is>
          <t>10 kW/rack</t>
        </is>
      </c>
      <c r="X16" t="inlineStr">
        <is>
          <t>Premium</t>
        </is>
      </c>
      <c r="Y16" t="inlineStr">
        <is>
          <t>Month-to-Month</t>
        </is>
      </c>
      <c r="Z16" t="n">
        <v>36.1</v>
      </c>
      <c r="AA16" t="inlineStr">
        <is>
          <t>12x5</t>
        </is>
      </c>
      <c r="AB16" t="inlineStr">
        <is>
          <t>L4</t>
        </is>
      </c>
      <c r="AC16" t="inlineStr">
        <is>
          <t>ISO27001, PCI-DSS</t>
        </is>
      </c>
      <c r="AD16" t="inlineStr">
        <is>
          <t>2025-05-14</t>
        </is>
      </c>
    </row>
    <row r="17">
      <c r="A17" t="inlineStr">
        <is>
          <t>QT-02432</t>
        </is>
      </c>
      <c r="B17" t="inlineStr">
        <is>
          <t>2024-04-13</t>
        </is>
      </c>
      <c r="C17" t="inlineStr">
        <is>
          <t>Vertex Colocation</t>
        </is>
      </c>
      <c r="D17" t="inlineStr">
        <is>
          <t>Network</t>
        </is>
      </c>
      <c r="E17" t="inlineStr">
        <is>
          <t>Firewall</t>
        </is>
      </c>
      <c r="F17" t="n">
        <v>8757.559999999999</v>
      </c>
      <c r="G17" t="n">
        <v>19.2</v>
      </c>
      <c r="H17" t="n">
        <v>12</v>
      </c>
      <c r="I17" t="inlineStr">
        <is>
          <t>2024-05-13</t>
        </is>
      </c>
      <c r="J17" t="inlineStr">
        <is>
          <t>2025-05-08</t>
        </is>
      </c>
      <c r="K17" t="inlineStr">
        <is>
          <t>EUR</t>
        </is>
      </c>
      <c r="L17" t="inlineStr">
        <is>
          <t>Accepted</t>
        </is>
      </c>
      <c r="M17" t="n">
        <v>2</v>
      </c>
      <c r="N17" t="inlineStr">
        <is>
          <t>M.Foster</t>
        </is>
      </c>
      <c r="O17" t="inlineStr">
        <is>
          <t>P.Garcia</t>
        </is>
      </c>
      <c r="P17" t="n">
        <v>7229.65</v>
      </c>
      <c r="Q17" t="n">
        <v>2.4</v>
      </c>
      <c r="R17" t="inlineStr">
        <is>
          <t>Round 3 quote for Firewall</t>
        </is>
      </c>
      <c r="S17" t="inlineStr">
        <is>
          <t>RFP-DC-2024-629</t>
        </is>
      </c>
      <c r="T17" t="inlineStr">
        <is>
          <t>Pending</t>
        </is>
      </c>
      <c r="U17" t="inlineStr">
        <is>
          <t>US-Northeast</t>
        </is>
      </c>
      <c r="V17" t="inlineStr">
        <is>
          <t>STM</t>
        </is>
      </c>
      <c r="W17" t="inlineStr">
        <is>
          <t>8 kW/rack</t>
        </is>
      </c>
      <c r="X17" t="inlineStr">
        <is>
          <t>Premium</t>
        </is>
      </c>
      <c r="Y17" t="inlineStr">
        <is>
          <t>Month-to-Month</t>
        </is>
      </c>
      <c r="Z17" t="n">
        <v>13.6</v>
      </c>
      <c r="AA17" t="inlineStr">
        <is>
          <t>12x5</t>
        </is>
      </c>
      <c r="AB17" t="inlineStr">
        <is>
          <t>L4</t>
        </is>
      </c>
      <c r="AC17" t="inlineStr">
        <is>
          <t>SOC2, PCI-DSS, ISO27001</t>
        </is>
      </c>
      <c r="AD17" t="inlineStr">
        <is>
          <t>2024-04-20</t>
        </is>
      </c>
    </row>
    <row r="18">
      <c r="A18" t="inlineStr">
        <is>
          <t>QT-02566</t>
        </is>
      </c>
      <c r="B18" t="inlineStr">
        <is>
          <t>2024-03-21</t>
        </is>
      </c>
      <c r="C18" t="inlineStr">
        <is>
          <t>Vertex Colocation</t>
        </is>
      </c>
      <c r="D18" t="inlineStr">
        <is>
          <t>Storage</t>
        </is>
      </c>
      <c r="E18" t="inlineStr">
        <is>
          <t>SIEM</t>
        </is>
      </c>
      <c r="F18" t="n">
        <v>1815.38</v>
      </c>
      <c r="G18" t="n">
        <v>21.3</v>
      </c>
      <c r="H18" t="n">
        <v>24</v>
      </c>
      <c r="I18" t="inlineStr">
        <is>
          <t>2024-04-20</t>
        </is>
      </c>
      <c r="J18" t="inlineStr">
        <is>
          <t>2026-04-10</t>
        </is>
      </c>
      <c r="K18" t="inlineStr">
        <is>
          <t>EUR</t>
        </is>
      </c>
      <c r="L18" t="inlineStr">
        <is>
          <t>Counter-offered</t>
        </is>
      </c>
      <c r="M18" t="n">
        <v>2</v>
      </c>
      <c r="N18" t="inlineStr">
        <is>
          <t>D.Rivera</t>
        </is>
      </c>
      <c r="O18" t="inlineStr">
        <is>
          <t>J.Martinez</t>
        </is>
      </c>
      <c r="P18" t="n">
        <v>1938.33</v>
      </c>
      <c r="Q18" t="n">
        <v>-23.4</v>
      </c>
      <c r="R18" t="inlineStr">
        <is>
          <t>Round 1 quote for SIEM</t>
        </is>
      </c>
      <c r="S18" t="inlineStr">
        <is>
          <t>RFP-DC-2025-110</t>
        </is>
      </c>
      <c r="T18" t="inlineStr">
        <is>
          <t>Approved</t>
        </is>
      </c>
      <c r="U18" t="inlineStr">
        <is>
          <t>US-Northeast</t>
        </is>
      </c>
      <c r="V18" t="inlineStr">
        <is>
          <t>Secondary</t>
        </is>
      </c>
      <c r="W18" t="inlineStr">
        <is>
          <t>10 kW/rack</t>
        </is>
      </c>
      <c r="X18" t="inlineStr">
        <is>
          <t>Premium</t>
        </is>
      </c>
      <c r="Y18" t="inlineStr">
        <is>
          <t>36-Month</t>
        </is>
      </c>
      <c r="Z18" t="n">
        <v>26.2</v>
      </c>
      <c r="AA18" t="inlineStr">
        <is>
          <t>8x5</t>
        </is>
      </c>
      <c r="AB18" t="inlineStr">
        <is>
          <t>L4</t>
        </is>
      </c>
      <c r="AC18" t="inlineStr">
        <is>
          <t>SOC2</t>
        </is>
      </c>
      <c r="AD18" t="inlineStr">
        <is>
          <t>2024-04-02</t>
        </is>
      </c>
    </row>
    <row r="19">
      <c r="A19" t="inlineStr">
        <is>
          <t>QT-02768</t>
        </is>
      </c>
      <c r="B19" t="inlineStr">
        <is>
          <t>2025-03-19</t>
        </is>
      </c>
      <c r="C19" t="inlineStr">
        <is>
          <t>NovaBridge Solutions</t>
        </is>
      </c>
      <c r="D19" t="inlineStr">
        <is>
          <t>Storage</t>
        </is>
      </c>
      <c r="E19" t="inlineStr">
        <is>
          <t>Object Storage</t>
        </is>
      </c>
      <c r="F19" t="n">
        <v>3842.16</v>
      </c>
      <c r="G19" t="n">
        <v>11.1</v>
      </c>
      <c r="H19" t="n">
        <v>24</v>
      </c>
      <c r="I19" t="inlineStr">
        <is>
          <t>2025-04-18</t>
        </is>
      </c>
      <c r="J19" t="inlineStr">
        <is>
          <t>2027-04-08</t>
        </is>
      </c>
      <c r="K19" t="inlineStr">
        <is>
          <t>EUR</t>
        </is>
      </c>
      <c r="L19" t="inlineStr">
        <is>
          <t>Superseded</t>
        </is>
      </c>
      <c r="M19" t="n">
        <v>3</v>
      </c>
      <c r="N19" t="inlineStr">
        <is>
          <t>D.Rivera</t>
        </is>
      </c>
      <c r="O19" t="inlineStr">
        <is>
          <t>P.Garcia</t>
        </is>
      </c>
      <c r="P19" t="n">
        <v>4019.28</v>
      </c>
      <c r="Q19" t="n">
        <v>9.4</v>
      </c>
      <c r="R19" t="inlineStr">
        <is>
          <t>Round 2 quote for Object Storage</t>
        </is>
      </c>
      <c r="S19" t="inlineStr">
        <is>
          <t>RFP-DC-2025-558</t>
        </is>
      </c>
      <c r="T19" t="inlineStr">
        <is>
          <t>Approved</t>
        </is>
      </c>
      <c r="U19" t="inlineStr">
        <is>
          <t>US-Northeast</t>
        </is>
      </c>
      <c r="V19" t="inlineStr">
        <is>
          <t>STM</t>
        </is>
      </c>
      <c r="W19" t="inlineStr">
        <is>
          <t>8 kW/rack</t>
        </is>
      </c>
      <c r="X19" t="inlineStr">
        <is>
          <t>Premium</t>
        </is>
      </c>
      <c r="Y19" t="inlineStr">
        <is>
          <t>12-Month</t>
        </is>
      </c>
      <c r="Z19" t="n">
        <v>26.9</v>
      </c>
      <c r="AA19" t="inlineStr">
        <is>
          <t>8x5</t>
        </is>
      </c>
      <c r="AB19" t="inlineStr">
        <is>
          <t>L2</t>
        </is>
      </c>
      <c r="AC19" t="inlineStr">
        <is>
          <t>SOC2, PCI-DSS, ISO27001</t>
        </is>
      </c>
      <c r="AD19" t="inlineStr">
        <is>
          <t>2025-03-27</t>
        </is>
      </c>
    </row>
    <row r="20">
      <c r="A20" t="inlineStr">
        <is>
          <t>QT-02793</t>
        </is>
      </c>
      <c r="B20" t="inlineStr">
        <is>
          <t>2025-02-04</t>
        </is>
      </c>
      <c r="C20" t="inlineStr">
        <is>
          <t>CloudMatrix Global</t>
        </is>
      </c>
      <c r="D20" t="inlineStr">
        <is>
          <t>Support</t>
        </is>
      </c>
      <c r="E20" t="inlineStr">
        <is>
          <t>Migration Planning</t>
        </is>
      </c>
      <c r="F20" t="n">
        <v>5189.62</v>
      </c>
      <c r="G20" t="n">
        <v>7.6</v>
      </c>
      <c r="H20" t="n">
        <v>24</v>
      </c>
      <c r="I20" t="inlineStr">
        <is>
          <t>2025-03-06</t>
        </is>
      </c>
      <c r="J20" t="inlineStr">
        <is>
          <t>2027-02-24</t>
        </is>
      </c>
      <c r="K20" t="inlineStr">
        <is>
          <t>EUR</t>
        </is>
      </c>
      <c r="L20" t="inlineStr">
        <is>
          <t>Counter-offered</t>
        </is>
      </c>
      <c r="M20" t="n">
        <v>2</v>
      </c>
      <c r="N20" t="inlineStr">
        <is>
          <t>D.Rivera</t>
        </is>
      </c>
      <c r="O20" t="inlineStr">
        <is>
          <t>P.Garcia</t>
        </is>
      </c>
      <c r="P20" t="n">
        <v>4172.27</v>
      </c>
      <c r="Q20" t="n">
        <v>22.4</v>
      </c>
      <c r="R20" t="inlineStr">
        <is>
          <t>Round 3 quote for Migration Planning</t>
        </is>
      </c>
      <c r="S20" t="inlineStr">
        <is>
          <t>RFP-DC-2024-901</t>
        </is>
      </c>
      <c r="T20" t="inlineStr">
        <is>
          <t>Approved</t>
        </is>
      </c>
      <c r="U20" t="inlineStr">
        <is>
          <t>US-East</t>
        </is>
      </c>
      <c r="V20" t="inlineStr">
        <is>
          <t>Secondary</t>
        </is>
      </c>
      <c r="W20" t="inlineStr">
        <is>
          <t>20 kW/rack</t>
        </is>
      </c>
      <c r="X20" t="inlineStr">
        <is>
          <t>Standard</t>
        </is>
      </c>
      <c r="Y20" t="inlineStr">
        <is>
          <t>Month-to-Month</t>
        </is>
      </c>
      <c r="Z20" t="n">
        <v>40.4</v>
      </c>
      <c r="AA20" t="inlineStr">
        <is>
          <t>8x5</t>
        </is>
      </c>
      <c r="AB20" t="inlineStr">
        <is>
          <t>L2</t>
        </is>
      </c>
      <c r="AC20" t="inlineStr">
        <is>
          <t>SOC2, PCI-DSS, ISO27001</t>
        </is>
      </c>
      <c r="AD20" t="inlineStr">
        <is>
          <t>2025-03-03</t>
        </is>
      </c>
    </row>
    <row r="21">
      <c r="A21" t="inlineStr">
        <is>
          <t>QT-02794</t>
        </is>
      </c>
      <c r="B21" t="inlineStr">
        <is>
          <t>2025-05-11</t>
        </is>
      </c>
      <c r="C21" t="inlineStr">
        <is>
          <t>Vertex Colocation</t>
        </is>
      </c>
      <c r="D21" t="inlineStr">
        <is>
          <t>Professional Services</t>
        </is>
      </c>
      <c r="E21" t="inlineStr">
        <is>
          <t>Load Balancer</t>
        </is>
      </c>
      <c r="F21" t="n">
        <v>3078.42</v>
      </c>
      <c r="G21" t="n">
        <v>21.9</v>
      </c>
      <c r="H21" t="n">
        <v>36</v>
      </c>
      <c r="I21" t="inlineStr">
        <is>
          <t>2025-06-10</t>
        </is>
      </c>
      <c r="J21" t="inlineStr">
        <is>
          <t>2028-05-25</t>
        </is>
      </c>
      <c r="K21" t="inlineStr">
        <is>
          <t>EUR</t>
        </is>
      </c>
      <c r="L21" t="inlineStr">
        <is>
          <t>Counter-offered</t>
        </is>
      </c>
      <c r="M21" t="n">
        <v>5</v>
      </c>
      <c r="N21" t="inlineStr">
        <is>
          <t>D.Rivera</t>
        </is>
      </c>
      <c r="O21" t="inlineStr">
        <is>
          <t>S.Johnson</t>
        </is>
      </c>
      <c r="P21" t="n">
        <v>3189.98</v>
      </c>
      <c r="Q21" t="n">
        <v>-25.9</v>
      </c>
      <c r="R21" t="inlineStr">
        <is>
          <t>Round 2 quote for Load Balancer</t>
        </is>
      </c>
      <c r="S21" t="inlineStr">
        <is>
          <t>RFP-DC-2025-138</t>
        </is>
      </c>
      <c r="T21" t="inlineStr">
        <is>
          <t>Rejected</t>
        </is>
      </c>
      <c r="U21" t="inlineStr">
        <is>
          <t>US-East</t>
        </is>
      </c>
      <c r="V21" t="inlineStr">
        <is>
          <t>NWK</t>
        </is>
      </c>
      <c r="W21" t="inlineStr">
        <is>
          <t>8 kW/rack</t>
        </is>
      </c>
      <c r="X21" t="inlineStr">
        <is>
          <t>Premium</t>
        </is>
      </c>
      <c r="Y21" t="inlineStr">
        <is>
          <t>Month-to-Month</t>
        </is>
      </c>
      <c r="Z21" t="n">
        <v>13.5</v>
      </c>
      <c r="AA21" t="inlineStr">
        <is>
          <t>24x7</t>
        </is>
      </c>
      <c r="AB21" t="inlineStr">
        <is>
          <t>L2</t>
        </is>
      </c>
      <c r="AC21" t="inlineStr">
        <is>
          <t>ISO27001, PCI-DSS</t>
        </is>
      </c>
      <c r="AD21" t="inlineStr">
        <is>
          <t>2025-06-21</t>
        </is>
      </c>
    </row>
    <row r="22">
      <c r="A22" t="inlineStr">
        <is>
          <t>QT-00084-001</t>
        </is>
      </c>
      <c r="B22" t="inlineStr">
        <is>
          <t>2024-02-17</t>
        </is>
      </c>
      <c r="C22" t="inlineStr">
        <is>
          <t>Vertex Colocation</t>
        </is>
      </c>
      <c r="D22" t="inlineStr">
        <is>
          <t>Professional Services</t>
        </is>
      </c>
      <c r="E22" t="inlineStr">
        <is>
          <t>Firewall</t>
        </is>
      </c>
      <c r="F22" t="n">
        <v>9860.58</v>
      </c>
      <c r="G22" t="n">
        <v>15.4</v>
      </c>
      <c r="H22" t="n">
        <v>24</v>
      </c>
      <c r="I22" t="inlineStr">
        <is>
          <t>2024-03-18</t>
        </is>
      </c>
      <c r="J22" t="inlineStr">
        <is>
          <t>2026-03-08</t>
        </is>
      </c>
      <c r="K22" t="inlineStr">
        <is>
          <t>USD</t>
        </is>
      </c>
      <c r="L22" t="inlineStr">
        <is>
          <t>Accepted</t>
        </is>
      </c>
      <c r="M22" t="n">
        <v>3</v>
      </c>
      <c r="N22" t="inlineStr">
        <is>
          <t>M.Foster</t>
        </is>
      </c>
      <c r="O22" t="inlineStr">
        <is>
          <t>J.Martinez</t>
        </is>
      </c>
      <c r="P22" t="n">
        <v>12272.52</v>
      </c>
      <c r="Q22" t="n">
        <v>11.7</v>
      </c>
      <c r="R22" t="inlineStr">
        <is>
          <t>Round 3 quote for Firewall</t>
        </is>
      </c>
      <c r="S22" t="inlineStr">
        <is>
          <t>RFP-DC-2025-125</t>
        </is>
      </c>
      <c r="T22" t="inlineStr">
        <is>
          <t>Pending</t>
        </is>
      </c>
      <c r="U22" t="inlineStr">
        <is>
          <t>US-East</t>
        </is>
      </c>
      <c r="V22" t="inlineStr">
        <is>
          <t>STM</t>
        </is>
      </c>
      <c r="W22" t="inlineStr">
        <is>
          <t>5 kW/rack</t>
        </is>
      </c>
      <c r="X22" t="inlineStr">
        <is>
          <t>Standard</t>
        </is>
      </c>
      <c r="Y22" t="inlineStr">
        <is>
          <t>12-Month</t>
        </is>
      </c>
      <c r="Z22" t="n">
        <v>26.4</v>
      </c>
      <c r="AA22" t="inlineStr">
        <is>
          <t>24x7</t>
        </is>
      </c>
      <c r="AB22" t="inlineStr">
        <is>
          <t>L4</t>
        </is>
      </c>
      <c r="AC22" t="inlineStr">
        <is>
          <t>SOC2, ISO27001</t>
        </is>
      </c>
      <c r="AD22" t="inlineStr">
        <is>
          <t>2024-04-11</t>
        </is>
      </c>
    </row>
    <row r="23">
      <c r="A23" t="inlineStr">
        <is>
          <t>QT-00105-002</t>
        </is>
      </c>
      <c r="B23" t="inlineStr">
        <is>
          <t>2025-03-22</t>
        </is>
      </c>
      <c r="C23" t="inlineStr">
        <is>
          <t>CloudMatrix Global</t>
        </is>
      </c>
      <c r="D23" t="inlineStr">
        <is>
          <t>Migration</t>
        </is>
      </c>
      <c r="E23" t="inlineStr">
        <is>
          <t>Object Storage</t>
        </is>
      </c>
      <c r="F23" t="n">
        <v>374.13</v>
      </c>
      <c r="G23" t="n">
        <v>0.9</v>
      </c>
      <c r="H23" t="n">
        <v>12</v>
      </c>
      <c r="I23" t="inlineStr">
        <is>
          <t>2025-04-21</t>
        </is>
      </c>
      <c r="J23" t="inlineStr">
        <is>
          <t>2026-04-16</t>
        </is>
      </c>
      <c r="K23" t="inlineStr">
        <is>
          <t>EUR</t>
        </is>
      </c>
      <c r="L23" t="inlineStr">
        <is>
          <t>Superseded</t>
        </is>
      </c>
      <c r="M23" t="n">
        <v>3</v>
      </c>
      <c r="N23" t="inlineStr">
        <is>
          <t>D.Rivera</t>
        </is>
      </c>
      <c r="O23" t="inlineStr">
        <is>
          <t>L.Davis</t>
        </is>
      </c>
      <c r="P23" t="n">
        <v>413.34</v>
      </c>
      <c r="Q23" t="n">
        <v>19.7</v>
      </c>
      <c r="R23" t="inlineStr">
        <is>
          <t>Round 4 quote for Object Storage</t>
        </is>
      </c>
      <c r="S23" t="inlineStr">
        <is>
          <t>RFP-DC-2024-573</t>
        </is>
      </c>
      <c r="T23" t="inlineStr">
        <is>
          <t>Approved</t>
        </is>
      </c>
      <c r="U23" t="inlineStr">
        <is>
          <t>US-East</t>
        </is>
      </c>
      <c r="V23" t="inlineStr">
        <is>
          <t>Secondary</t>
        </is>
      </c>
      <c r="W23" t="inlineStr">
        <is>
          <t>8 kW/rack</t>
        </is>
      </c>
      <c r="X23" t="inlineStr">
        <is>
          <t>Enterprise</t>
        </is>
      </c>
      <c r="Y23" t="inlineStr">
        <is>
          <t>Month-to-Month</t>
        </is>
      </c>
      <c r="Z23" t="n">
        <v>34.5</v>
      </c>
      <c r="AA23" t="inlineStr">
        <is>
          <t>12x5</t>
        </is>
      </c>
      <c r="AB23" t="inlineStr">
        <is>
          <t>L1</t>
        </is>
      </c>
      <c r="AC23" t="inlineStr">
        <is>
          <t>ISO27001, PCI-DSS</t>
        </is>
      </c>
      <c r="AD23" t="inlineStr">
        <is>
          <t>2025-04-23</t>
        </is>
      </c>
    </row>
    <row r="24">
      <c r="A24" t="inlineStr">
        <is>
          <t>QT-00111-003</t>
        </is>
      </c>
      <c r="B24" t="inlineStr">
        <is>
          <t>2025-02-03</t>
        </is>
      </c>
      <c r="C24" t="inlineStr">
        <is>
          <t>CloudMatrix Global</t>
        </is>
      </c>
      <c r="D24" t="inlineStr">
        <is>
          <t>Professional Services</t>
        </is>
      </c>
      <c r="E24" t="inlineStr">
        <is>
          <t>Block Storage</t>
        </is>
      </c>
      <c r="F24" t="n">
        <v>13887.98</v>
      </c>
      <c r="G24" t="n">
        <v>4.2</v>
      </c>
      <c r="H24" t="n">
        <v>12</v>
      </c>
      <c r="I24" t="inlineStr">
        <is>
          <t>2025-03-05</t>
        </is>
      </c>
      <c r="J24" t="inlineStr">
        <is>
          <t>2026-02-28</t>
        </is>
      </c>
      <c r="K24" t="inlineStr">
        <is>
          <t>EUR</t>
        </is>
      </c>
      <c r="L24" t="inlineStr">
        <is>
          <t>Superseded</t>
        </is>
      </c>
      <c r="M24" t="n">
        <v>2</v>
      </c>
      <c r="N24" t="inlineStr">
        <is>
          <t>D.Rivera</t>
        </is>
      </c>
      <c r="O24" t="inlineStr">
        <is>
          <t>L.Davis</t>
        </is>
      </c>
      <c r="P24" t="n">
        <v>18413.42</v>
      </c>
      <c r="Q24" t="n">
        <v>-9.1</v>
      </c>
      <c r="R24" t="inlineStr">
        <is>
          <t>Round 5 quote for Block Storage</t>
        </is>
      </c>
      <c r="S24" t="inlineStr">
        <is>
          <t>RFP-DC-2025-176</t>
        </is>
      </c>
      <c r="T24" t="inlineStr">
        <is>
          <t>Rejected</t>
        </is>
      </c>
      <c r="U24" t="inlineStr">
        <is>
          <t>US-Northeast</t>
        </is>
      </c>
      <c r="V24" t="inlineStr">
        <is>
          <t>NWK</t>
        </is>
      </c>
      <c r="W24" t="inlineStr">
        <is>
          <t>5 kW/rack</t>
        </is>
      </c>
      <c r="X24" t="inlineStr">
        <is>
          <t>Enterprise</t>
        </is>
      </c>
      <c r="Y24" t="inlineStr">
        <is>
          <t>24-Month</t>
        </is>
      </c>
      <c r="Z24" t="n">
        <v>15.6</v>
      </c>
      <c r="AA24" t="inlineStr">
        <is>
          <t>12x5</t>
        </is>
      </c>
      <c r="AB24" t="inlineStr">
        <is>
          <t>L2</t>
        </is>
      </c>
      <c r="AC24" t="inlineStr">
        <is>
          <t>SOC2, PCI-DSS, ISO27001</t>
        </is>
      </c>
      <c r="AD24" t="inlineStr">
        <is>
          <t>2025-04-02</t>
        </is>
      </c>
    </row>
    <row r="25">
      <c r="A25" t="inlineStr">
        <is>
          <t>QT-00345-004</t>
        </is>
      </c>
      <c r="B25" t="inlineStr">
        <is>
          <t>2024-08-26</t>
        </is>
      </c>
      <c r="C25" t="inlineStr">
        <is>
          <t>NovaBridge Solutions</t>
        </is>
      </c>
      <c r="D25" t="inlineStr">
        <is>
          <t>Security</t>
        </is>
      </c>
      <c r="E25" t="inlineStr">
        <is>
          <t>Power (kW)</t>
        </is>
      </c>
      <c r="F25" t="n">
        <v>769.79</v>
      </c>
      <c r="G25" t="n">
        <v>1.6</v>
      </c>
      <c r="H25" t="n">
        <v>36</v>
      </c>
      <c r="I25" t="inlineStr">
        <is>
          <t>2024-09-25</t>
        </is>
      </c>
      <c r="J25" t="inlineStr">
        <is>
          <t>2027-09-10</t>
        </is>
      </c>
      <c r="K25" t="inlineStr">
        <is>
          <t>USD</t>
        </is>
      </c>
      <c r="L25" t="inlineStr">
        <is>
          <t>Counter-offered</t>
        </is>
      </c>
      <c r="M25" t="n">
        <v>1</v>
      </c>
      <c r="N25" t="inlineStr">
        <is>
          <t>J.Kim</t>
        </is>
      </c>
      <c r="O25" t="inlineStr">
        <is>
          <t>A.Patel</t>
        </is>
      </c>
      <c r="P25" t="n">
        <v>1009.15</v>
      </c>
      <c r="Q25" t="n">
        <v>-2.3</v>
      </c>
      <c r="R25" t="inlineStr">
        <is>
          <t>Round 3 quote for Power (kW)</t>
        </is>
      </c>
      <c r="S25" t="inlineStr">
        <is>
          <t>RFP-DC-2024-309</t>
        </is>
      </c>
      <c r="T25" t="inlineStr">
        <is>
          <t>Pending</t>
        </is>
      </c>
      <c r="U25" t="inlineStr">
        <is>
          <t>US-East</t>
        </is>
      </c>
      <c r="V25" t="inlineStr">
        <is>
          <t>Secondary</t>
        </is>
      </c>
      <c r="W25" t="inlineStr">
        <is>
          <t>8 kW/rack</t>
        </is>
      </c>
      <c r="X25" t="inlineStr">
        <is>
          <t>Enterprise</t>
        </is>
      </c>
      <c r="Y25" t="inlineStr">
        <is>
          <t>24-Month</t>
        </is>
      </c>
      <c r="Z25" t="n">
        <v>11.7</v>
      </c>
      <c r="AA25" t="inlineStr">
        <is>
          <t>8x5</t>
        </is>
      </c>
      <c r="AB25" t="inlineStr">
        <is>
          <t>L3</t>
        </is>
      </c>
      <c r="AC25" t="inlineStr">
        <is>
          <t>ISO27001, PCI-DSS</t>
        </is>
      </c>
      <c r="AD25" t="inlineStr">
        <is>
          <t>2024-09-11</t>
        </is>
      </c>
    </row>
    <row r="26">
      <c r="A26" t="inlineStr">
        <is>
          <t>QT-00359-005</t>
        </is>
      </c>
      <c r="B26" t="inlineStr">
        <is>
          <t>2024-03-07</t>
        </is>
      </c>
      <c r="C26" t="inlineStr">
        <is>
          <t>CloudMatrix Global</t>
        </is>
      </c>
      <c r="D26" t="inlineStr">
        <is>
          <t>Security</t>
        </is>
      </c>
      <c r="E26" t="inlineStr">
        <is>
          <t>Object Storage</t>
        </is>
      </c>
      <c r="F26" t="n">
        <v>8822.58</v>
      </c>
      <c r="G26" t="n">
        <v>18.3</v>
      </c>
      <c r="H26" t="n">
        <v>12</v>
      </c>
      <c r="I26" t="inlineStr">
        <is>
          <t>2024-04-06</t>
        </is>
      </c>
      <c r="J26" t="inlineStr">
        <is>
          <t>2025-04-01</t>
        </is>
      </c>
      <c r="K26" t="inlineStr">
        <is>
          <t>EUR</t>
        </is>
      </c>
      <c r="L26" t="inlineStr">
        <is>
          <t>Expired</t>
        </is>
      </c>
      <c r="M26" t="n">
        <v>1</v>
      </c>
      <c r="N26" t="inlineStr">
        <is>
          <t>M.Foster</t>
        </is>
      </c>
      <c r="O26" t="inlineStr">
        <is>
          <t>L.Davis</t>
        </is>
      </c>
      <c r="P26" t="n">
        <v>10356.96</v>
      </c>
      <c r="Q26" t="n">
        <v>-28.2</v>
      </c>
      <c r="R26" t="inlineStr">
        <is>
          <t>Round 3 quote for Object Storage</t>
        </is>
      </c>
      <c r="S26" t="inlineStr">
        <is>
          <t>RFP-DC-2024-649</t>
        </is>
      </c>
      <c r="T26" t="inlineStr">
        <is>
          <t>Pending</t>
        </is>
      </c>
      <c r="U26" t="inlineStr">
        <is>
          <t>US-East</t>
        </is>
      </c>
      <c r="V26" t="inlineStr">
        <is>
          <t>Primary</t>
        </is>
      </c>
      <c r="W26" t="inlineStr">
        <is>
          <t>20 kW/rack</t>
        </is>
      </c>
      <c r="X26" t="inlineStr">
        <is>
          <t>Premium</t>
        </is>
      </c>
      <c r="Y26" t="inlineStr">
        <is>
          <t>36-Month</t>
        </is>
      </c>
      <c r="Z26" t="n">
        <v>32.7</v>
      </c>
      <c r="AA26" t="inlineStr">
        <is>
          <t>12x5</t>
        </is>
      </c>
      <c r="AB26" t="inlineStr">
        <is>
          <t>L2</t>
        </is>
      </c>
      <c r="AC26" t="inlineStr">
        <is>
          <t>SOC2, ISO27001</t>
        </is>
      </c>
      <c r="AD26" t="inlineStr">
        <is>
          <t>2024-03-26</t>
        </is>
      </c>
    </row>
    <row r="27">
      <c r="A27" t="inlineStr">
        <is>
          <t>QT-00380-006</t>
        </is>
      </c>
      <c r="B27" t="inlineStr">
        <is>
          <t>2024-12-14</t>
        </is>
      </c>
      <c r="C27" t="inlineStr">
        <is>
          <t>Vertex Colocation</t>
        </is>
      </c>
      <c r="D27" t="inlineStr">
        <is>
          <t>Cloud IaaS</t>
        </is>
      </c>
      <c r="E27" t="inlineStr">
        <is>
          <t>Migration Planning</t>
        </is>
      </c>
      <c r="F27" t="n">
        <v>14352.12</v>
      </c>
      <c r="G27" t="n">
        <v>23.1</v>
      </c>
      <c r="H27" t="n">
        <v>36</v>
      </c>
      <c r="I27" t="inlineStr">
        <is>
          <t>2025-01-13</t>
        </is>
      </c>
      <c r="J27" t="inlineStr">
        <is>
          <t>2027-12-29</t>
        </is>
      </c>
      <c r="K27" t="inlineStr">
        <is>
          <t>EUR</t>
        </is>
      </c>
      <c r="L27" t="inlineStr">
        <is>
          <t>Accepted</t>
        </is>
      </c>
      <c r="M27" t="n">
        <v>3</v>
      </c>
      <c r="N27" t="inlineStr">
        <is>
          <t>D.Rivera</t>
        </is>
      </c>
      <c r="O27" t="inlineStr">
        <is>
          <t>J.Martinez</t>
        </is>
      </c>
      <c r="P27" t="n">
        <v>16843.16</v>
      </c>
      <c r="Q27" t="n">
        <v>21</v>
      </c>
      <c r="R27" t="inlineStr">
        <is>
          <t>Round 1 quote for Migration Planning</t>
        </is>
      </c>
      <c r="S27" t="inlineStr">
        <is>
          <t>RFP-DC-2024-138</t>
        </is>
      </c>
      <c r="T27" t="inlineStr">
        <is>
          <t>Rejected</t>
        </is>
      </c>
      <c r="U27" t="inlineStr">
        <is>
          <t>US-Northeast</t>
        </is>
      </c>
      <c r="V27" t="inlineStr">
        <is>
          <t>Secondary</t>
        </is>
      </c>
      <c r="W27" t="inlineStr">
        <is>
          <t>15 kW/rack</t>
        </is>
      </c>
      <c r="X27" t="inlineStr">
        <is>
          <t>Enterprise</t>
        </is>
      </c>
      <c r="Y27" t="inlineStr">
        <is>
          <t>Month-to-Month</t>
        </is>
      </c>
      <c r="Z27" t="n">
        <v>30.1</v>
      </c>
      <c r="AA27" t="inlineStr">
        <is>
          <t>24x7</t>
        </is>
      </c>
      <c r="AB27" t="inlineStr">
        <is>
          <t>L4</t>
        </is>
      </c>
      <c r="AC27" t="inlineStr">
        <is>
          <t>SOC2, PCI-DSS, ISO27001</t>
        </is>
      </c>
      <c r="AD27" t="inlineStr">
        <is>
          <t>2025-01-05</t>
        </is>
      </c>
    </row>
    <row r="28">
      <c r="A28" t="inlineStr">
        <is>
          <t>QT-00431-007</t>
        </is>
      </c>
      <c r="B28" t="inlineStr">
        <is>
          <t>2024-06-15</t>
        </is>
      </c>
      <c r="C28" t="inlineStr">
        <is>
          <t>NovaBridge Solutions</t>
        </is>
      </c>
      <c r="D28" t="inlineStr">
        <is>
          <t>Cloud IaaS</t>
        </is>
      </c>
      <c r="E28" t="inlineStr">
        <is>
          <t>Backup</t>
        </is>
      </c>
      <c r="F28" t="n">
        <v>13033.79</v>
      </c>
      <c r="G28" t="n">
        <v>12</v>
      </c>
      <c r="H28" t="n">
        <v>36</v>
      </c>
      <c r="I28" t="inlineStr">
        <is>
          <t>2024-07-15</t>
        </is>
      </c>
      <c r="J28" t="inlineStr">
        <is>
          <t>2027-06-30</t>
        </is>
      </c>
      <c r="K28" t="inlineStr">
        <is>
          <t>USD</t>
        </is>
      </c>
      <c r="L28" t="inlineStr">
        <is>
          <t>Withdrawn</t>
        </is>
      </c>
      <c r="M28" t="n">
        <v>5</v>
      </c>
      <c r="N28" t="inlineStr">
        <is>
          <t>M.Foster</t>
        </is>
      </c>
      <c r="O28" t="inlineStr">
        <is>
          <t>J.Martinez</t>
        </is>
      </c>
      <c r="P28" t="n">
        <v>15284.74</v>
      </c>
      <c r="Q28" t="n">
        <v>-12.7</v>
      </c>
      <c r="R28" t="inlineStr">
        <is>
          <t>Round 2 quote for Backup</t>
        </is>
      </c>
      <c r="S28" t="inlineStr">
        <is>
          <t>RFP-DC-2025-266</t>
        </is>
      </c>
      <c r="T28" t="inlineStr">
        <is>
          <t>Pending</t>
        </is>
      </c>
      <c r="U28" t="inlineStr">
        <is>
          <t>US-Northeast</t>
        </is>
      </c>
      <c r="V28" t="inlineStr">
        <is>
          <t>Secondary</t>
        </is>
      </c>
      <c r="W28" t="inlineStr">
        <is>
          <t>15 kW/rack</t>
        </is>
      </c>
      <c r="X28" t="inlineStr">
        <is>
          <t>Standard</t>
        </is>
      </c>
      <c r="Y28" t="inlineStr">
        <is>
          <t>Month-to-Month</t>
        </is>
      </c>
      <c r="Z28" t="n">
        <v>12.2</v>
      </c>
      <c r="AA28" t="inlineStr">
        <is>
          <t>24x7</t>
        </is>
      </c>
      <c r="AB28" t="inlineStr">
        <is>
          <t>L1</t>
        </is>
      </c>
      <c r="AC28" t="inlineStr">
        <is>
          <t>SOC2, ISO27001</t>
        </is>
      </c>
      <c r="AD28" t="inlineStr">
        <is>
          <t>2024-07-03</t>
        </is>
      </c>
    </row>
    <row r="29">
      <c r="A29" t="inlineStr">
        <is>
          <t>QT-00540-008</t>
        </is>
      </c>
      <c r="B29" t="inlineStr">
        <is>
          <t>2024-01-15</t>
        </is>
      </c>
      <c r="C29" t="inlineStr">
        <is>
          <t>CloudMatrix Global</t>
        </is>
      </c>
      <c r="D29" t="inlineStr">
        <is>
          <t>Professional Services</t>
        </is>
      </c>
      <c r="E29" t="inlineStr">
        <is>
          <t>Rack Space</t>
        </is>
      </c>
      <c r="F29" t="n">
        <v>2284.39</v>
      </c>
      <c r="G29" t="n">
        <v>16.9</v>
      </c>
      <c r="H29" t="n">
        <v>12</v>
      </c>
      <c r="I29" t="inlineStr">
        <is>
          <t>2024-02-14</t>
        </is>
      </c>
      <c r="J29" t="inlineStr">
        <is>
          <t>2025-02-08</t>
        </is>
      </c>
      <c r="K29" t="inlineStr">
        <is>
          <t>EUR</t>
        </is>
      </c>
      <c r="L29" t="inlineStr">
        <is>
          <t>Accepted</t>
        </is>
      </c>
      <c r="M29" t="n">
        <v>3</v>
      </c>
      <c r="N29" t="inlineStr">
        <is>
          <t>J.Kim</t>
        </is>
      </c>
      <c r="O29" t="inlineStr">
        <is>
          <t>K.Anderson</t>
        </is>
      </c>
      <c r="P29" t="n">
        <v>2241.28</v>
      </c>
      <c r="Q29" t="n">
        <v>20.7</v>
      </c>
      <c r="R29" t="inlineStr">
        <is>
          <t>Round 2 quote for Rack Space</t>
        </is>
      </c>
      <c r="S29" t="inlineStr">
        <is>
          <t>RFP-DC-2024-818</t>
        </is>
      </c>
      <c r="T29" t="inlineStr">
        <is>
          <t>Rejected</t>
        </is>
      </c>
      <c r="U29" t="inlineStr">
        <is>
          <t>US-Northeast</t>
        </is>
      </c>
      <c r="V29" t="inlineStr">
        <is>
          <t>NWK</t>
        </is>
      </c>
      <c r="W29" t="inlineStr">
        <is>
          <t>10 kW/rack</t>
        </is>
      </c>
      <c r="X29" t="inlineStr">
        <is>
          <t>Standard</t>
        </is>
      </c>
      <c r="Y29" t="inlineStr">
        <is>
          <t>36-Month</t>
        </is>
      </c>
      <c r="Z29" t="n">
        <v>22.7</v>
      </c>
      <c r="AA29" t="inlineStr">
        <is>
          <t>12x5</t>
        </is>
      </c>
      <c r="AB29" t="inlineStr">
        <is>
          <t>L3</t>
        </is>
      </c>
      <c r="AC29" t="inlineStr">
        <is>
          <t>SOC2, PCI-DSS, ISO27001</t>
        </is>
      </c>
      <c r="AD29" t="inlineStr">
        <is>
          <t>2024-01-17</t>
        </is>
      </c>
    </row>
    <row r="30">
      <c r="A30" t="inlineStr">
        <is>
          <t>QT-00822-009</t>
        </is>
      </c>
      <c r="B30" t="inlineStr">
        <is>
          <t>2024-06-07</t>
        </is>
      </c>
      <c r="C30" t="inlineStr">
        <is>
          <t>NovaBridge Solutions</t>
        </is>
      </c>
      <c r="D30" t="inlineStr">
        <is>
          <t>Storage</t>
        </is>
      </c>
      <c r="E30" t="inlineStr">
        <is>
          <t>Firewall</t>
        </is>
      </c>
      <c r="F30" t="n">
        <v>10691.09</v>
      </c>
      <c r="G30" t="n">
        <v>2.7</v>
      </c>
      <c r="H30" t="n">
        <v>24</v>
      </c>
      <c r="I30" t="inlineStr">
        <is>
          <t>2024-07-07</t>
        </is>
      </c>
      <c r="J30" t="inlineStr">
        <is>
          <t>2026-06-27</t>
        </is>
      </c>
      <c r="K30" t="inlineStr">
        <is>
          <t>EUR</t>
        </is>
      </c>
      <c r="L30" t="inlineStr">
        <is>
          <t>Accepted</t>
        </is>
      </c>
      <c r="M30" t="n">
        <v>3</v>
      </c>
      <c r="N30" t="inlineStr">
        <is>
          <t>M.Foster</t>
        </is>
      </c>
      <c r="O30" t="inlineStr">
        <is>
          <t>A.Patel</t>
        </is>
      </c>
      <c r="P30" t="n">
        <v>9438.66</v>
      </c>
      <c r="Q30" t="n">
        <v>-26.1</v>
      </c>
      <c r="R30" t="inlineStr">
        <is>
          <t>Round 1 quote for Firewall</t>
        </is>
      </c>
      <c r="S30" t="inlineStr">
        <is>
          <t>RFP-DC-2024-912</t>
        </is>
      </c>
      <c r="T30" t="inlineStr">
        <is>
          <t>Approved</t>
        </is>
      </c>
      <c r="U30" t="inlineStr">
        <is>
          <t>US-East</t>
        </is>
      </c>
      <c r="V30" t="inlineStr">
        <is>
          <t>STM</t>
        </is>
      </c>
      <c r="W30" t="inlineStr">
        <is>
          <t>10 kW/rack</t>
        </is>
      </c>
      <c r="X30" t="inlineStr">
        <is>
          <t>Standard</t>
        </is>
      </c>
      <c r="Y30" t="inlineStr">
        <is>
          <t>24-Month</t>
        </is>
      </c>
      <c r="Z30" t="n">
        <v>36.6</v>
      </c>
      <c r="AA30" t="inlineStr">
        <is>
          <t>12x5</t>
        </is>
      </c>
      <c r="AB30" t="inlineStr">
        <is>
          <t>L2</t>
        </is>
      </c>
      <c r="AC30" t="inlineStr">
        <is>
          <t>SOC2</t>
        </is>
      </c>
      <c r="AD30" t="inlineStr">
        <is>
          <t>2024-06-24</t>
        </is>
      </c>
    </row>
    <row r="31">
      <c r="A31" t="inlineStr">
        <is>
          <t>QT-00845-010</t>
        </is>
      </c>
      <c r="B31" t="inlineStr">
        <is>
          <t>2024-04-12</t>
        </is>
      </c>
      <c r="C31" t="inlineStr">
        <is>
          <t>CloudMatrix Global</t>
        </is>
      </c>
      <c r="D31" t="inlineStr">
        <is>
          <t>Managed Services</t>
        </is>
      </c>
      <c r="E31" t="inlineStr">
        <is>
          <t>Rack Space</t>
        </is>
      </c>
      <c r="F31" t="n">
        <v>5478.34</v>
      </c>
      <c r="G31" t="n">
        <v>17.7</v>
      </c>
      <c r="H31" t="n">
        <v>12</v>
      </c>
      <c r="I31" t="inlineStr">
        <is>
          <t>2024-05-12</t>
        </is>
      </c>
      <c r="J31" t="inlineStr">
        <is>
          <t>2025-05-07</t>
        </is>
      </c>
      <c r="K31" t="inlineStr">
        <is>
          <t>USD</t>
        </is>
      </c>
      <c r="L31" t="inlineStr">
        <is>
          <t>Superseded</t>
        </is>
      </c>
      <c r="M31" t="n">
        <v>5</v>
      </c>
      <c r="N31" t="inlineStr">
        <is>
          <t>M.Foster</t>
        </is>
      </c>
      <c r="O31" t="inlineStr">
        <is>
          <t>L.Davis</t>
        </is>
      </c>
      <c r="P31" t="n">
        <v>6855.96</v>
      </c>
      <c r="Q31" t="n">
        <v>-14.4</v>
      </c>
      <c r="R31" t="inlineStr">
        <is>
          <t>Round 2 quote for Rack Space</t>
        </is>
      </c>
      <c r="S31" t="inlineStr">
        <is>
          <t>RFP-DC-2024-746</t>
        </is>
      </c>
      <c r="T31" t="inlineStr">
        <is>
          <t>Approved</t>
        </is>
      </c>
      <c r="U31" t="inlineStr">
        <is>
          <t>US-East</t>
        </is>
      </c>
      <c r="V31" t="inlineStr">
        <is>
          <t>STM</t>
        </is>
      </c>
      <c r="W31" t="inlineStr">
        <is>
          <t>15 kW/rack</t>
        </is>
      </c>
      <c r="X31" t="inlineStr">
        <is>
          <t>Enterprise</t>
        </is>
      </c>
      <c r="Y31" t="inlineStr">
        <is>
          <t>Month-to-Month</t>
        </is>
      </c>
      <c r="Z31" t="n">
        <v>31.4</v>
      </c>
      <c r="AA31" t="inlineStr">
        <is>
          <t>8x5</t>
        </is>
      </c>
      <c r="AB31" t="inlineStr">
        <is>
          <t>L4</t>
        </is>
      </c>
      <c r="AC31" t="inlineStr">
        <is>
          <t>SOC2</t>
        </is>
      </c>
      <c r="AD31" t="inlineStr">
        <is>
          <t>2024-06-10</t>
        </is>
      </c>
    </row>
    <row r="32">
      <c r="A32" t="inlineStr">
        <is>
          <t>QT-00929-011</t>
        </is>
      </c>
      <c r="B32" t="inlineStr">
        <is>
          <t>2024-03-02</t>
        </is>
      </c>
      <c r="C32" t="inlineStr">
        <is>
          <t>NovaBridge Solutions</t>
        </is>
      </c>
      <c r="D32" t="inlineStr">
        <is>
          <t>Migration</t>
        </is>
      </c>
      <c r="E32" t="inlineStr">
        <is>
          <t>Post-Migration Support</t>
        </is>
      </c>
      <c r="F32" t="n">
        <v>13149.64</v>
      </c>
      <c r="G32" t="n">
        <v>12</v>
      </c>
      <c r="H32" t="n">
        <v>36</v>
      </c>
      <c r="I32" t="inlineStr">
        <is>
          <t>2024-04-01</t>
        </is>
      </c>
      <c r="J32" t="inlineStr">
        <is>
          <t>2027-03-17</t>
        </is>
      </c>
      <c r="K32" t="inlineStr">
        <is>
          <t>EUR</t>
        </is>
      </c>
      <c r="L32" t="inlineStr">
        <is>
          <t>Counter-offered</t>
        </is>
      </c>
      <c r="M32" t="n">
        <v>5</v>
      </c>
      <c r="N32" t="inlineStr">
        <is>
          <t>M.Foster</t>
        </is>
      </c>
      <c r="O32" t="inlineStr">
        <is>
          <t>S.Johnson</t>
        </is>
      </c>
      <c r="P32" t="n">
        <v>11747.13</v>
      </c>
      <c r="Q32" t="n">
        <v>-18.5</v>
      </c>
      <c r="R32" t="inlineStr">
        <is>
          <t>Round 5 quote for Post-Migration Support</t>
        </is>
      </c>
      <c r="S32" t="inlineStr">
        <is>
          <t>RFP-DC-2024-856</t>
        </is>
      </c>
      <c r="T32" t="inlineStr">
        <is>
          <t>Pending</t>
        </is>
      </c>
      <c r="U32" t="inlineStr">
        <is>
          <t>US-East</t>
        </is>
      </c>
      <c r="V32" t="inlineStr">
        <is>
          <t>NWK</t>
        </is>
      </c>
      <c r="W32" t="inlineStr">
        <is>
          <t>5 kW/rack</t>
        </is>
      </c>
      <c r="X32" t="inlineStr">
        <is>
          <t>Enterprise</t>
        </is>
      </c>
      <c r="Y32" t="inlineStr">
        <is>
          <t>36-Month</t>
        </is>
      </c>
      <c r="Z32" t="n">
        <v>44.4</v>
      </c>
      <c r="AA32" t="inlineStr">
        <is>
          <t>8x5</t>
        </is>
      </c>
      <c r="AB32" t="inlineStr">
        <is>
          <t>L1</t>
        </is>
      </c>
      <c r="AC32" t="inlineStr">
        <is>
          <t>SOC2, PCI-DSS, ISO27001</t>
        </is>
      </c>
      <c r="AD32" t="inlineStr">
        <is>
          <t>2024-04-27</t>
        </is>
      </c>
    </row>
    <row r="33">
      <c r="A33" t="inlineStr">
        <is>
          <t>QT-01040-012</t>
        </is>
      </c>
      <c r="B33" t="inlineStr">
        <is>
          <t>2024-07-25</t>
        </is>
      </c>
      <c r="C33" t="inlineStr">
        <is>
          <t>CloudMatrix Global</t>
        </is>
      </c>
      <c r="D33" t="inlineStr">
        <is>
          <t>Professional Services</t>
        </is>
      </c>
      <c r="E33" t="inlineStr">
        <is>
          <t>DDoS Protection</t>
        </is>
      </c>
      <c r="F33" t="n">
        <v>9685.360000000001</v>
      </c>
      <c r="G33" t="n">
        <v>9</v>
      </c>
      <c r="H33" t="n">
        <v>36</v>
      </c>
      <c r="I33" t="inlineStr">
        <is>
          <t>2024-08-24</t>
        </is>
      </c>
      <c r="J33" t="inlineStr">
        <is>
          <t>2027-08-09</t>
        </is>
      </c>
      <c r="K33" t="inlineStr">
        <is>
          <t>EUR</t>
        </is>
      </c>
      <c r="L33" t="inlineStr">
        <is>
          <t>Expired</t>
        </is>
      </c>
      <c r="M33" t="n">
        <v>3</v>
      </c>
      <c r="N33" t="inlineStr">
        <is>
          <t>J.Kim</t>
        </is>
      </c>
      <c r="O33" t="inlineStr">
        <is>
          <t>M.Williams</t>
        </is>
      </c>
      <c r="P33" t="n">
        <v>11169.36</v>
      </c>
      <c r="Q33" t="n">
        <v>-3.2</v>
      </c>
      <c r="R33" t="inlineStr">
        <is>
          <t>Round 5 quote for DDoS Protection</t>
        </is>
      </c>
      <c r="S33" t="inlineStr">
        <is>
          <t>RFP-DC-2024-719</t>
        </is>
      </c>
      <c r="T33" t="inlineStr">
        <is>
          <t>Approved</t>
        </is>
      </c>
      <c r="U33" t="inlineStr">
        <is>
          <t>US-Northeast</t>
        </is>
      </c>
      <c r="V33" t="inlineStr">
        <is>
          <t>Secondary</t>
        </is>
      </c>
      <c r="W33" t="inlineStr">
        <is>
          <t>8 kW/rack</t>
        </is>
      </c>
      <c r="X33" t="inlineStr">
        <is>
          <t>Premium</t>
        </is>
      </c>
      <c r="Y33" t="inlineStr">
        <is>
          <t>36-Month</t>
        </is>
      </c>
      <c r="Z33" t="n">
        <v>14.8</v>
      </c>
      <c r="AA33" t="inlineStr">
        <is>
          <t>12x5</t>
        </is>
      </c>
      <c r="AB33" t="inlineStr">
        <is>
          <t>L4</t>
        </is>
      </c>
      <c r="AC33" t="inlineStr">
        <is>
          <t>SOC2, PCI-DSS, ISO27001</t>
        </is>
      </c>
      <c r="AD33" t="inlineStr">
        <is>
          <t>2024-08-16</t>
        </is>
      </c>
    </row>
    <row r="34">
      <c r="A34" t="inlineStr">
        <is>
          <t>QT-01632-013</t>
        </is>
      </c>
      <c r="B34" t="inlineStr">
        <is>
          <t>2024-10-30</t>
        </is>
      </c>
      <c r="C34" t="inlineStr">
        <is>
          <t>NovaBridge Solutions</t>
        </is>
      </c>
      <c r="D34" t="inlineStr">
        <is>
          <t>Storage</t>
        </is>
      </c>
      <c r="E34" t="inlineStr">
        <is>
          <t>Managed DB</t>
        </is>
      </c>
      <c r="F34" t="n">
        <v>6287.43</v>
      </c>
      <c r="G34" t="n">
        <v>16.8</v>
      </c>
      <c r="H34" t="n">
        <v>12</v>
      </c>
      <c r="I34" t="inlineStr">
        <is>
          <t>2024-11-29</t>
        </is>
      </c>
      <c r="J34" t="inlineStr">
        <is>
          <t>2025-11-24</t>
        </is>
      </c>
      <c r="K34" t="inlineStr">
        <is>
          <t>USD</t>
        </is>
      </c>
      <c r="L34" t="inlineStr">
        <is>
          <t>Accepted</t>
        </is>
      </c>
      <c r="M34" t="n">
        <v>2</v>
      </c>
      <c r="N34" t="inlineStr">
        <is>
          <t>M.Foster</t>
        </is>
      </c>
      <c r="O34" t="inlineStr">
        <is>
          <t>R.Chen</t>
        </is>
      </c>
      <c r="P34" t="n">
        <v>7433.76</v>
      </c>
      <c r="Q34" t="n">
        <v>-7.3</v>
      </c>
      <c r="R34" t="inlineStr">
        <is>
          <t>Round 3 quote for Managed DB</t>
        </is>
      </c>
      <c r="S34" t="inlineStr">
        <is>
          <t>RFP-DC-2025-133</t>
        </is>
      </c>
      <c r="T34" t="inlineStr">
        <is>
          <t>Rejected</t>
        </is>
      </c>
      <c r="U34" t="inlineStr">
        <is>
          <t>US-Northeast</t>
        </is>
      </c>
      <c r="V34" t="inlineStr">
        <is>
          <t>NWK</t>
        </is>
      </c>
      <c r="W34" t="inlineStr">
        <is>
          <t>15 kW/rack</t>
        </is>
      </c>
      <c r="X34" t="inlineStr">
        <is>
          <t>Premium</t>
        </is>
      </c>
      <c r="Y34" t="inlineStr">
        <is>
          <t>12-Month</t>
        </is>
      </c>
      <c r="Z34" t="n">
        <v>44.3</v>
      </c>
      <c r="AA34" t="inlineStr">
        <is>
          <t>12x5</t>
        </is>
      </c>
      <c r="AB34" t="inlineStr">
        <is>
          <t>L2</t>
        </is>
      </c>
      <c r="AC34" t="inlineStr">
        <is>
          <t>ISO27001, PCI-DSS</t>
        </is>
      </c>
      <c r="AD34" t="inlineStr">
        <is>
          <t>2024-12-20</t>
        </is>
      </c>
    </row>
    <row r="35">
      <c r="A35" t="inlineStr">
        <is>
          <t>QT-02123-014</t>
        </is>
      </c>
      <c r="B35" t="inlineStr">
        <is>
          <t>2024-04-19</t>
        </is>
      </c>
      <c r="C35" t="inlineStr">
        <is>
          <t>Vertex Colocation</t>
        </is>
      </c>
      <c r="D35" t="inlineStr">
        <is>
          <t>Network</t>
        </is>
      </c>
      <c r="E35" t="inlineStr">
        <is>
          <t>Vulnerability Scan</t>
        </is>
      </c>
      <c r="F35" t="n">
        <v>11190.4</v>
      </c>
      <c r="G35" t="n">
        <v>1</v>
      </c>
      <c r="H35" t="n">
        <v>12</v>
      </c>
      <c r="I35" t="inlineStr">
        <is>
          <t>2024-05-19</t>
        </is>
      </c>
      <c r="J35" t="inlineStr">
        <is>
          <t>2025-05-14</t>
        </is>
      </c>
      <c r="K35" t="inlineStr">
        <is>
          <t>EUR</t>
        </is>
      </c>
      <c r="L35" t="inlineStr">
        <is>
          <t>Withdrawn</t>
        </is>
      </c>
      <c r="M35" t="n">
        <v>4</v>
      </c>
      <c r="N35" t="inlineStr">
        <is>
          <t>S.Clark</t>
        </is>
      </c>
      <c r="O35" t="inlineStr">
        <is>
          <t>P.Garcia</t>
        </is>
      </c>
      <c r="P35" t="n">
        <v>10526.02</v>
      </c>
      <c r="Q35" t="n">
        <v>18.1</v>
      </c>
      <c r="R35" t="inlineStr">
        <is>
          <t>Round 1 quote for Vulnerability Scan</t>
        </is>
      </c>
      <c r="S35" t="inlineStr">
        <is>
          <t>RFP-DC-2025-169</t>
        </is>
      </c>
      <c r="T35" t="inlineStr">
        <is>
          <t>Approved</t>
        </is>
      </c>
      <c r="U35" t="inlineStr">
        <is>
          <t>US-Northeast</t>
        </is>
      </c>
      <c r="V35" t="inlineStr">
        <is>
          <t>Primary</t>
        </is>
      </c>
      <c r="W35" t="inlineStr">
        <is>
          <t>5 kW/rack</t>
        </is>
      </c>
      <c r="X35" t="inlineStr">
        <is>
          <t>Standard</t>
        </is>
      </c>
      <c r="Y35" t="inlineStr">
        <is>
          <t>12-Month</t>
        </is>
      </c>
      <c r="Z35" t="n">
        <v>40.9</v>
      </c>
      <c r="AA35" t="inlineStr">
        <is>
          <t>12x5</t>
        </is>
      </c>
      <c r="AB35" t="inlineStr">
        <is>
          <t>L4</t>
        </is>
      </c>
      <c r="AC35" t="inlineStr">
        <is>
          <t>SOC2, ISO27001</t>
        </is>
      </c>
      <c r="AD35" t="inlineStr">
        <is>
          <t>2024-05-24</t>
        </is>
      </c>
    </row>
    <row r="36">
      <c r="A36" t="inlineStr">
        <is>
          <t>QT-02244-015</t>
        </is>
      </c>
      <c r="B36" t="inlineStr">
        <is>
          <t>2025-03-24</t>
        </is>
      </c>
      <c r="C36" t="inlineStr">
        <is>
          <t>NovaBridge Solutions</t>
        </is>
      </c>
      <c r="D36" t="inlineStr">
        <is>
          <t>Migration</t>
        </is>
      </c>
      <c r="E36" t="inlineStr">
        <is>
          <t>Compute Instance</t>
        </is>
      </c>
      <c r="F36" t="n">
        <v>1350.42</v>
      </c>
      <c r="G36" t="n">
        <v>6.7</v>
      </c>
      <c r="H36" t="n">
        <v>12</v>
      </c>
      <c r="I36" t="inlineStr">
        <is>
          <t>2025-04-23</t>
        </is>
      </c>
      <c r="J36" t="inlineStr">
        <is>
          <t>2026-04-18</t>
        </is>
      </c>
      <c r="K36" t="inlineStr">
        <is>
          <t>EUR</t>
        </is>
      </c>
      <c r="L36" t="inlineStr">
        <is>
          <t>Accepted</t>
        </is>
      </c>
      <c r="M36" t="n">
        <v>2</v>
      </c>
      <c r="N36" t="inlineStr">
        <is>
          <t>J.Kim</t>
        </is>
      </c>
      <c r="O36" t="inlineStr">
        <is>
          <t>K.Anderson</t>
        </is>
      </c>
      <c r="P36" t="n">
        <v>1088.13</v>
      </c>
      <c r="Q36" t="n">
        <v>15.1</v>
      </c>
      <c r="R36" t="inlineStr">
        <is>
          <t>Round 1 quote for Compute Instance</t>
        </is>
      </c>
      <c r="S36" t="inlineStr">
        <is>
          <t>RFP-DC-2025-159</t>
        </is>
      </c>
      <c r="T36" t="inlineStr">
        <is>
          <t>Pending</t>
        </is>
      </c>
      <c r="U36" t="inlineStr">
        <is>
          <t>US-East</t>
        </is>
      </c>
      <c r="V36" t="inlineStr">
        <is>
          <t>NWK</t>
        </is>
      </c>
      <c r="W36" t="inlineStr">
        <is>
          <t>10 kW/rack</t>
        </is>
      </c>
      <c r="X36" t="inlineStr">
        <is>
          <t>Premium</t>
        </is>
      </c>
      <c r="Y36" t="inlineStr">
        <is>
          <t>Month-to-Month</t>
        </is>
      </c>
      <c r="Z36" t="n">
        <v>36.1</v>
      </c>
      <c r="AA36" t="inlineStr">
        <is>
          <t>12x5</t>
        </is>
      </c>
      <c r="AB36" t="inlineStr">
        <is>
          <t>L4</t>
        </is>
      </c>
      <c r="AC36" t="inlineStr">
        <is>
          <t>ISO27001, PCI-DSS</t>
        </is>
      </c>
      <c r="AD36" t="inlineStr">
        <is>
          <t>2025-05-14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Vendor Pricing Comparison and TCO Analysis</dc:title>
  <dcterms:created xmlns:dcterms="http://purl.org/dc/terms/" xmlns:xsi="http://www.w3.org/2001/XMLSchema-instance" xsi:type="dcterms:W3CDTF">2025-03-08T10:00:00Z</dcterms:created>
  <dcterms:modified xmlns:dcterms="http://purl.org/dc/terms/" xmlns:xsi="http://www.w3.org/2001/XMLSchema-instance" xsi:type="dcterms:W3CDTF">2026-08-02T19:57:58Z</dcterms:modified>
</cp:coreProperties>
</file>